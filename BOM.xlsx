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rlh\SkripsieProject\"/>
    </mc:Choice>
  </mc:AlternateContent>
  <xr:revisionPtr revIDLastSave="0" documentId="13_ncr:1_{FFCBDEDD-5EC2-482B-B1C2-52D27180568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mplete Components" sheetId="1" r:id="rId1"/>
    <sheet name="Digikey Components" sheetId="2" r:id="rId2"/>
    <sheet name="Communica Components" sheetId="3" r:id="rId3"/>
  </sheets>
  <definedNames>
    <definedName name="_xlnm._FilterDatabase" localSheetId="2" hidden="1">'Communica Components'!$A$1:$I$4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2" l="1"/>
  <c r="G5" i="3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A79" i="1"/>
  <c r="A72" i="1"/>
  <c r="I89" i="1" l="1"/>
</calcChain>
</file>

<file path=xl/sharedStrings.xml><?xml version="1.0" encoding="utf-8"?>
<sst xmlns="http://schemas.openxmlformats.org/spreadsheetml/2006/main" count="986" uniqueCount="412">
  <si>
    <t>Part Number</t>
  </si>
  <si>
    <t>Description</t>
  </si>
  <si>
    <t>Manufacturer</t>
  </si>
  <si>
    <t>Package</t>
  </si>
  <si>
    <t>Reference</t>
  </si>
  <si>
    <t>Qty</t>
  </si>
  <si>
    <t>Value</t>
  </si>
  <si>
    <t>Price Total</t>
  </si>
  <si>
    <t>URL</t>
  </si>
  <si>
    <t>C1,C2,C28,C39,C52,CIN1,CIN2,CIN3,CIN4</t>
  </si>
  <si>
    <t>4.7u</t>
  </si>
  <si>
    <t>https://www.digikey.co.za/en/products/detail/murata-electronics/GCJ31CC71H475KA01L/6606045</t>
  </si>
  <si>
    <t>C3,C4,C5</t>
  </si>
  <si>
    <t>2.2u</t>
  </si>
  <si>
    <t>https://www.digikey.co.za/en/products/detail/panasonic-industry/ECE-A1HN2R2U/227638</t>
  </si>
  <si>
    <t>C6,C13,C14,C16</t>
  </si>
  <si>
    <t>22n</t>
  </si>
  <si>
    <t>Labs</t>
  </si>
  <si>
    <t>C7,C8,C10,C15,C18,C19,C24,C25,C26,C27,C34,C35,C37,C45,C46,C47,C51,C53,C55,C56,C57,C58,C59,C60,C61,C62</t>
  </si>
  <si>
    <t>100n</t>
  </si>
  <si>
    <t>C9</t>
  </si>
  <si>
    <t>1.5n</t>
  </si>
  <si>
    <t>C11,C12,C17,C21,C22,C23,CVCC1,CVCC2</t>
  </si>
  <si>
    <t>1u</t>
  </si>
  <si>
    <t>https://www.digikey.co.za/en/products/detail/murata-electronics/GJ821BR71H105KA12L/6606901</t>
  </si>
  <si>
    <t>10u</t>
  </si>
  <si>
    <t>https://www.digikey.co.za/en/products/detail/murata-electronics/GCM32EC71H106KA03L/4903991</t>
  </si>
  <si>
    <t>C29,C31,C40,C42</t>
  </si>
  <si>
    <t>100p</t>
  </si>
  <si>
    <t>https://www.digikey.co.za/en/products?keywords=C0805C101J5GACTU</t>
  </si>
  <si>
    <t>C30,C32,C36,C38,C41,C43,C48,C49</t>
  </si>
  <si>
    <t>100u</t>
  </si>
  <si>
    <t>C33,C44</t>
  </si>
  <si>
    <t>300p</t>
  </si>
  <si>
    <t>https://www.digikey.co.za/en/products?keywords=C0805C301J5GACTU</t>
  </si>
  <si>
    <t>C50</t>
  </si>
  <si>
    <t>0.1u</t>
  </si>
  <si>
    <t>CHF1,CHF2</t>
  </si>
  <si>
    <t>220n</t>
  </si>
  <si>
    <t>COUT4</t>
  </si>
  <si>
    <t>220u</t>
  </si>
  <si>
    <t>22u</t>
  </si>
  <si>
    <t>https://www.digikey.co.za/en/products?keywords=GRM32ER71E226KE15L</t>
  </si>
  <si>
    <t>D1,D2,D3,D4</t>
  </si>
  <si>
    <t>1N4007</t>
  </si>
  <si>
    <t>Labs?</t>
  </si>
  <si>
    <t>F1,F2,F3,F4</t>
  </si>
  <si>
    <t>T4A</t>
  </si>
  <si>
    <t>https://www.digikey.co.za/en/products?keywords=0477004.MXP</t>
  </si>
  <si>
    <t>J1</t>
  </si>
  <si>
    <t>Conn_01x03_Pin</t>
  </si>
  <si>
    <t>https://www.digikey.co.za/en/products/detail/same-sky-formerly-cui-devices/SJ1-3513/738683</t>
  </si>
  <si>
    <t>J2</t>
  </si>
  <si>
    <t>Main Power In</t>
  </si>
  <si>
    <t>https://www.digikey.co.za/en/products/detail/phoenix-contact/1829167/2515041</t>
  </si>
  <si>
    <t>J3</t>
  </si>
  <si>
    <t>LCD I2C</t>
  </si>
  <si>
    <t>https://www.digikey.co.za/en/products/detail/adam-tech/2SH-C-04-TS/9830678</t>
  </si>
  <si>
    <t>J4</t>
  </si>
  <si>
    <t>Fan Tach and PWM</t>
  </si>
  <si>
    <t>https://www.digikey.co.za/en/products/detail/jst-sales-america-inc/B8B-XH-A/1651049</t>
  </si>
  <si>
    <t>J5</t>
  </si>
  <si>
    <t>Fan Power and GND</t>
  </si>
  <si>
    <t>https://www.digikey.co.za/en/products?keywords=43045-0812</t>
  </si>
  <si>
    <t>J6</t>
  </si>
  <si>
    <t>VP and VN</t>
  </si>
  <si>
    <t>https://www.digikey.co.za/en/products?keywords=B2B-PH-K-S%28LF%29%28SN%29</t>
  </si>
  <si>
    <t>J7</t>
  </si>
  <si>
    <t>DEBUG</t>
  </si>
  <si>
    <t>https://www.digikey.co.za/en/products?keywords=B5B-PH-K-S%28LF%29%28SN%29</t>
  </si>
  <si>
    <t>J8</t>
  </si>
  <si>
    <t>Power To Amp</t>
  </si>
  <si>
    <t>J9</t>
  </si>
  <si>
    <t>Power In</t>
  </si>
  <si>
    <t>J10</t>
  </si>
  <si>
    <t>PA_IN</t>
  </si>
  <si>
    <t>https://www.digikey.co.za/en/products?keywords=B3B-PH-K-S%28LF%29%28SN%29</t>
  </si>
  <si>
    <t>J11</t>
  </si>
  <si>
    <t>EQ_OUT</t>
  </si>
  <si>
    <t>J12</t>
  </si>
  <si>
    <t>Speakers</t>
  </si>
  <si>
    <t>https://www.digikey.co.za/en/products/detail/phoenix-contact/1757242/260474</t>
  </si>
  <si>
    <t>https://www.digikey.co.za/en/products/detail/bourns-inc/SRP1038A-100M/4876568</t>
  </si>
  <si>
    <t>Q1,Q2,Q4,Q6,Q11,Q13,Q14,Q16</t>
  </si>
  <si>
    <t>BC546</t>
  </si>
  <si>
    <t>Q3,Q12</t>
  </si>
  <si>
    <t>BCM846BS-7</t>
  </si>
  <si>
    <t>https://www.digikey.co.za/en/products/detail/diodes-incorporated/BCM846BS-7/10295097</t>
  </si>
  <si>
    <t>Q5,Q7,Q15,Q18</t>
  </si>
  <si>
    <t>BD140</t>
  </si>
  <si>
    <t>https://www.digikey.co.za/en/products/detail/stmicroelectronics/BD140/1037683</t>
  </si>
  <si>
    <t>Q8,Q20</t>
  </si>
  <si>
    <t>TIP35</t>
  </si>
  <si>
    <t>https://www.digikey.co.za/en/products/detail/stmicroelectronics/TIP35C/603634</t>
  </si>
  <si>
    <t>Q9,Q17</t>
  </si>
  <si>
    <t>BD139</t>
  </si>
  <si>
    <t>https://www.digikey.co.za/en/products/detail/stmicroelectronics/BD139/1037682</t>
  </si>
  <si>
    <t>Q10,Q19</t>
  </si>
  <si>
    <t>TIP36</t>
  </si>
  <si>
    <t>https://www.digikey.co.za/en/products/detail/stmicroelectronics/TIP36C/603629</t>
  </si>
  <si>
    <t>Q21</t>
  </si>
  <si>
    <t>2N3904</t>
  </si>
  <si>
    <t>R1,R2,R11,R12,R49,R50,R51,R52</t>
  </si>
  <si>
    <t>10k</t>
  </si>
  <si>
    <t>R3,R5,R8,R10</t>
  </si>
  <si>
    <t>R4,R25,R26,R40,R41</t>
  </si>
  <si>
    <t>3.3k</t>
  </si>
  <si>
    <t>100k</t>
  </si>
  <si>
    <t>R13,R16</t>
  </si>
  <si>
    <t>2.7k</t>
  </si>
  <si>
    <t>R17,R19,R22,R32,R34,R39</t>
  </si>
  <si>
    <t>1k</t>
  </si>
  <si>
    <t>R18,R23,R33,R38</t>
  </si>
  <si>
    <t>22k</t>
  </si>
  <si>
    <t>R20,R35</t>
  </si>
  <si>
    <t>27k</t>
  </si>
  <si>
    <t>R21,R37</t>
  </si>
  <si>
    <t>1.8k</t>
  </si>
  <si>
    <t>R24,R36</t>
  </si>
  <si>
    <t>R27,R30,R42,R43</t>
  </si>
  <si>
    <t>R28,R29,R44,R45</t>
  </si>
  <si>
    <t>https://www.digikey.co.za/en/products?keywords=SQP500JB-0R33</t>
  </si>
  <si>
    <t>R31,R46</t>
  </si>
  <si>
    <t>https://www.digikey.co.za/en/products?keywords=MOS2CT52R100J</t>
  </si>
  <si>
    <t>6.8k</t>
  </si>
  <si>
    <t>24.9k</t>
  </si>
  <si>
    <t>https://www.digikey.co.za/en/products?keywords=RT0805BRD0724K9L</t>
  </si>
  <si>
    <t>SW1</t>
  </si>
  <si>
    <t>SW_Push</t>
  </si>
  <si>
    <t>https://www.digikey.co.za/en/products/detail/omron-electronics-inc-emc-div/B3F-1000/33150</t>
  </si>
  <si>
    <t>U1,U2,U3,U4,U5,U6</t>
  </si>
  <si>
    <t>TL081</t>
  </si>
  <si>
    <t>U7,U8</t>
  </si>
  <si>
    <t>LMR36520FADDAR</t>
  </si>
  <si>
    <t>https://www.digikey.co.za/en/products/detail/texas-instruments/LMR36520FADDAR/11617629</t>
  </si>
  <si>
    <t>U9</t>
  </si>
  <si>
    <t>TLV75533PDBVR</t>
  </si>
  <si>
    <t>https://www.digikey.co.za/en/products/detail/texas-instruments/TLV75533PDBVR/9356541</t>
  </si>
  <si>
    <t>U10</t>
  </si>
  <si>
    <t>LM317_TO-220</t>
  </si>
  <si>
    <t>https://www.digikey.co.za/en/products/detail/stmicroelectronics/LM317T/591677</t>
  </si>
  <si>
    <t>U11</t>
  </si>
  <si>
    <t>LM337_TO220</t>
  </si>
  <si>
    <t>https://www.digikey.co.za/en/products/detail/texas-instruments/LM337T-NOPB/6222</t>
  </si>
  <si>
    <t>U12</t>
  </si>
  <si>
    <t>STM32G031K8Tx</t>
  </si>
  <si>
    <t>https://www.digikey.co.za/en/products/detail/stmicroelectronics/STM32G031K8T6/10300267</t>
  </si>
  <si>
    <t>RV5,RV6,RV7</t>
  </si>
  <si>
    <t>https://www.digikey.co.za/en/products/detail/bourns-inc/PTD902-2215K-B103/24635169</t>
  </si>
  <si>
    <t>RV8</t>
  </si>
  <si>
    <t>https://www.digikey.co.za/en/products/detail/bourns-inc/PTD902-2015K-A103/3820463</t>
  </si>
  <si>
    <t>RV1,RV2</t>
  </si>
  <si>
    <t>https://www.digikey.co.za/en/products/detail/bourns-inc/3296W-1-102LF/1088044</t>
  </si>
  <si>
    <t>N/A</t>
  </si>
  <si>
    <t>LMT01</t>
  </si>
  <si>
    <t>GCJ31CC71H475KA01L</t>
  </si>
  <si>
    <t>4.7 µF ±10% 50 V X7S ceramic capacitor</t>
  </si>
  <si>
    <t>Murata Electronics</t>
  </si>
  <si>
    <t>Capacitor_SMD:C_1206_3216Metric</t>
  </si>
  <si>
    <t>ECE-A1HN2R2U</t>
  </si>
  <si>
    <t>2.2 µF 50 V radial aluminium electrolytic capacitor</t>
  </si>
  <si>
    <t>Panasonic Industry</t>
  </si>
  <si>
    <t>Capacitor_THT:CP_Radial_D5.0mm_P2.00mm</t>
  </si>
  <si>
    <t>22 nF capacitor (lab stock; type and voltage unknown)</t>
  </si>
  <si>
    <t>Capacitor_THT:C_Rect_L7.2mm_W2.5mm_P5.00mm (verify dimensions)</t>
  </si>
  <si>
    <t>100 nF capacitor (lab stock; type and voltage unknown)</t>
  </si>
  <si>
    <t>1.5 nF capacitor (lab stock; type and voltage unknown)</t>
  </si>
  <si>
    <t>GJ821BR71H105KA12L</t>
  </si>
  <si>
    <t>1 µF ±10% 50 V X7R ceramic capacitor</t>
  </si>
  <si>
    <t>Capacitor_SMD:C_0805_2012Metric</t>
  </si>
  <si>
    <t>GCM32EC71H106KA03L</t>
  </si>
  <si>
    <t>10 µF ±10% 50 V X7S ceramic capacitor</t>
  </si>
  <si>
    <t>Capacitor_SMD:C_1210_3225Metric</t>
  </si>
  <si>
    <t>C0805C101J5GACTU</t>
  </si>
  <si>
    <t>100 pF ±5% 50 V C0G/NP0 ceramic capacitor</t>
  </si>
  <si>
    <t>KEMET</t>
  </si>
  <si>
    <t>100 µF electrolytic capacitor (lab stock; voltage and dimensions unknown)</t>
  </si>
  <si>
    <t>N/A (measure can diameter and lead pitch)</t>
  </si>
  <si>
    <t>C0805C301J5GACTU</t>
  </si>
  <si>
    <t>300 pF ±5% 50 V C0G/NP0 ceramic capacitor</t>
  </si>
  <si>
    <t>0.1 µF capacitor (lab stock; type and voltage unknown)</t>
  </si>
  <si>
    <t>220 nF capacitor (lab stock; type and voltage unknown)</t>
  </si>
  <si>
    <t>220 µF electrolytic capacitor (lab stock; voltage and dimensions unknown)</t>
  </si>
  <si>
    <t>GRM32ER71E226KE15L</t>
  </si>
  <si>
    <t>22 µF ±10% 25 V X7R ceramic capacitor</t>
  </si>
  <si>
    <t>1 A 1000 V general-purpose rectifier diode (lab stock)</t>
  </si>
  <si>
    <t>Diode_THT:D_DO-41_SOD81_P10.16mm_Horizontal</t>
  </si>
  <si>
    <t>0477004.MXP</t>
  </si>
  <si>
    <t>4 A time-delay ceramic cartridge fuse, 5 × 20 mm</t>
  </si>
  <si>
    <t>Littelfuse</t>
  </si>
  <si>
    <t>5 × 20 mm cartridge (installed in separate holder)</t>
  </si>
  <si>
    <t>SJ1-3513</t>
  </si>
  <si>
    <t>3.5 mm stereo TRS phone jack, panel mount, right-angle</t>
  </si>
  <si>
    <t>Same Sky (formerly CUI Devices)</t>
  </si>
  <si>
    <t>N/A (panel-mount solder-lug connector)</t>
  </si>
  <si>
    <t>1829167</t>
  </si>
  <si>
    <t>3-position 7.62 mm vertical pluggable terminal-block header</t>
  </si>
  <si>
    <t>Phoenix Contact</t>
  </si>
  <si>
    <t>TerminalBlock_Phoenix:PhoenixContact_GMSTBV_2,5_3-G-7,62_1x03_P7.62mm_Vertical</t>
  </si>
  <si>
    <t>2SH-C-04-TS</t>
  </si>
  <si>
    <t>4-position 2.00 mm vertical shrouded through-hole header</t>
  </si>
  <si>
    <t>Adam Tech</t>
  </si>
  <si>
    <t>Connector_PinHeader_2.00mm:PinHeader_1x04_P2.00mm_Vertical</t>
  </si>
  <si>
    <t>B8B-XH-A</t>
  </si>
  <si>
    <t>8-position 2.50 mm vertical JST XH through-hole header</t>
  </si>
  <si>
    <t>JST Sales America Inc.</t>
  </si>
  <si>
    <t>Connector_JST:JST_XH_B8B-XH-A_1x08_P2.50mm_Vertical</t>
  </si>
  <si>
    <t>0430450812</t>
  </si>
  <si>
    <t>8-position 3.00 mm dual-row vertical Micro-Fit 3.0 header</t>
  </si>
  <si>
    <t>Molex</t>
  </si>
  <si>
    <t>Connector_Molex:Molex_Micro-Fit_3.0_43045-0812_2x04_P3.00mm_Vertical</t>
  </si>
  <si>
    <t>B2B-PH-K-S</t>
  </si>
  <si>
    <t>2-position 2.00 mm vertical JST PH through-hole header</t>
  </si>
  <si>
    <t>Connector_JST:JST_PH_B2B-PH-K_1x02_P2.00mm_Vertical</t>
  </si>
  <si>
    <t>B5B-PH-K-S</t>
  </si>
  <si>
    <t>5-position 2.00 mm vertical JST PH through-hole header</t>
  </si>
  <si>
    <t>Connector_JST:JST_PH_B5B-PH-K_1x05_P2.00mm_Vertical</t>
  </si>
  <si>
    <t>B3B-PH-K-S</t>
  </si>
  <si>
    <t>3-position 2.00 mm vertical JST PH through-hole header</t>
  </si>
  <si>
    <t>Connector_JST:JST_PH_B3B-PH-K_1x03_P2.00mm_Vertical</t>
  </si>
  <si>
    <t>1757242</t>
  </si>
  <si>
    <t>2-position 5.08 mm right-angle pluggable terminal-block header</t>
  </si>
  <si>
    <t>TerminalBlock_Phoenix:PhoenixContact_MSTBA_2,5_2-G-5,08_1x02_P5.08mm_Horizontal</t>
  </si>
  <si>
    <t>N/A (custom footprint from manufacturer drawing)</t>
  </si>
  <si>
    <t>SRP1038A-100M</t>
  </si>
  <si>
    <t>10 µH shielded SMD power inductor</t>
  </si>
  <si>
    <t>Bourns</t>
  </si>
  <si>
    <t>Inductor_SMD:L_Bourns-SRP1038A</t>
  </si>
  <si>
    <t>NPN small-signal transistor (lab stock; exact suffix unknown)</t>
  </si>
  <si>
    <t>Package_TO_SOT_THT:TO-92_Inline</t>
  </si>
  <si>
    <t>Dual matched NPN transistor, 65 V</t>
  </si>
  <si>
    <t>Diodes Incorporated</t>
  </si>
  <si>
    <t>Package_TO_SOT_SMD:SOT-363_SC-70-6</t>
  </si>
  <si>
    <t>PNP medium-power transistor, TO-126</t>
  </si>
  <si>
    <t>STMicroelectronics</t>
  </si>
  <si>
    <t>Package_TO_SOT_THT:TO-126-3_Vertical</t>
  </si>
  <si>
    <t>TIP35C</t>
  </si>
  <si>
    <t>NPN power transistor, TO-247-3</t>
  </si>
  <si>
    <t>Package_TO_SOT_THT:TO-247-3_Vertical</t>
  </si>
  <si>
    <t>NPN medium-power transistor, TO-126</t>
  </si>
  <si>
    <t>TIP36C</t>
  </si>
  <si>
    <t>PNP power transistor, TO-247-3</t>
  </si>
  <si>
    <t>NPN small-signal transistor (lab stock)</t>
  </si>
  <si>
    <t>10 kΩ axial resistor (lab stock; tolerance and power unknown)</t>
  </si>
  <si>
    <t>Resistor_THT:R_Axial_DIN0207_L6.3mm_D2.5mm_P10.16mm_Horizontal (verify wattage)</t>
  </si>
  <si>
    <t>470 Ω axial resistor (lab stock; tolerance and power unknown)</t>
  </si>
  <si>
    <t>3.3 kΩ axial resistor (lab stock; tolerance and power unknown)</t>
  </si>
  <si>
    <t>100 kΩ axial resistor (lab stock; tolerance and power unknown)</t>
  </si>
  <si>
    <t>2.7 kΩ axial resistor (lab stock; tolerance and power unknown)</t>
  </si>
  <si>
    <t>220 Ω axial resistor (lab stock; tolerance and power unknown)</t>
  </si>
  <si>
    <t>1 kΩ axial resistor (lab stock; tolerance and power unknown)</t>
  </si>
  <si>
    <t>22 kΩ axial resistor (lab stock; tolerance and power unknown)</t>
  </si>
  <si>
    <t>27 kΩ axial resistor (lab stock; tolerance and power unknown)</t>
  </si>
  <si>
    <t>1.8 kΩ axial resistor (lab stock; tolerance and power unknown)</t>
  </si>
  <si>
    <t>560 Ω axial resistor (lab stock; tolerance and power unknown)</t>
  </si>
  <si>
    <t>270 Ω axial resistor (lab stock; tolerance and power unknown)</t>
  </si>
  <si>
    <t>SQP500JB-0R33</t>
  </si>
  <si>
    <t>0.33 Ω ±5% 5 W cement wirewound resistor</t>
  </si>
  <si>
    <t>YAGEO</t>
  </si>
  <si>
    <t>Resistor_THT:R_Box_L22.0mm_W10.0mm_P20.00mm</t>
  </si>
  <si>
    <t>MOS2CT52R100J</t>
  </si>
  <si>
    <t>10 Ω ±5% 2 W metal-oxide axial resistor</t>
  </si>
  <si>
    <t>TE Connectivity Passive Product</t>
  </si>
  <si>
    <t>Resistor_THT:R_Axial_DIN0411_L9.9mm_D3.6mm_P15.24mm_Horizontal</t>
  </si>
  <si>
    <t>6.8 kΩ axial resistor (lab stock; tolerance and power unknown)</t>
  </si>
  <si>
    <t>RT0805BRD0724K9L</t>
  </si>
  <si>
    <t>24.9 kΩ ±0.1% thin-film chip resistor</t>
  </si>
  <si>
    <t>Resistor_SMD:R_0805_2012Metric</t>
  </si>
  <si>
    <t>B3F-1000</t>
  </si>
  <si>
    <t>6 mm square momentary tactile switch, through-hole</t>
  </si>
  <si>
    <t>Omron Electronics</t>
  </si>
  <si>
    <t>Button_Switch_THT:SW_PUSH_6mm_H5mm</t>
  </si>
  <si>
    <t>JFET-input operational amplifier (lab stock; exact package unknown)</t>
  </si>
  <si>
    <t>Package_DIP:DIP-8_W7.62mm (verify lab part)</t>
  </si>
  <si>
    <t>65 V, 2 A synchronous step-down converter IC</t>
  </si>
  <si>
    <t>Texas Instruments</t>
  </si>
  <si>
    <t>Package_SO:PowerSO-8_1EP_3.9x4.9mm_P1.27mm</t>
  </si>
  <si>
    <t>3.3 V, 500 mA low-dropout linear regulator</t>
  </si>
  <si>
    <t>Package_TO_SOT_SMD:SOT-23-5</t>
  </si>
  <si>
    <t>LM317T</t>
  </si>
  <si>
    <t>Adjustable positive linear regulator</t>
  </si>
  <si>
    <t>Package_TO_SOT_THT:TO-220-3_Vertical</t>
  </si>
  <si>
    <t>LM337T/NOPB</t>
  </si>
  <si>
    <t>Adjustable negative linear regulator</t>
  </si>
  <si>
    <t>STM32G031K8T6</t>
  </si>
  <si>
    <t>32-bit Arm Cortex-M0+ microcontroller, 64 KB Flash</t>
  </si>
  <si>
    <t>Package_QFP:LQFP-32_7x7mm_P0.8mm</t>
  </si>
  <si>
    <t>PTD902-2215K-B103</t>
  </si>
  <si>
    <t>Dual-gang 10 kΩ linear potentiometer with centre detent</t>
  </si>
  <si>
    <t>PTD902-2015K-A103</t>
  </si>
  <si>
    <t>Dual-gang 10 kΩ audio-taper potentiometer</t>
  </si>
  <si>
    <t>3296W-1-102LF</t>
  </si>
  <si>
    <t>1 kΩ 25-turn top-adjust trimmer potentiometer</t>
  </si>
  <si>
    <t>Potentiometer_THT:Potentiometer_Bourns_3296W_Vertical</t>
  </si>
  <si>
    <t>20 × 4 character LCD module</t>
  </si>
  <si>
    <t>N/A (display module; use manufacturer mechanical drawing)</t>
  </si>
  <si>
    <t>I²C/SPI character LCD backpack module</t>
  </si>
  <si>
    <t>N/A (assembled module; custom header footprint)</t>
  </si>
  <si>
    <t>N/A (chassis-mount fan)</t>
  </si>
  <si>
    <t>2-pin digital temperature sensor (lab stock; package suffix unknown)</t>
  </si>
  <si>
    <t>N/A (verify TO-92 or SMD package variant)</t>
  </si>
  <si>
    <t>ADDED ITEMS</t>
  </si>
  <si>
    <t>Fuse holders, mating connector hardware, crimp contacts and wiring</t>
  </si>
  <si>
    <t>Accessories / harness parts</t>
  </si>
  <si>
    <t>PCB fuse holder for 5 × 20 mm cartridge fuse</t>
  </si>
  <si>
    <t>SCHURTER</t>
  </si>
  <si>
    <t>Fuse:Fuseholder_Cylinder-5x20mm_Schurter_0031_8201_Horizontal_Open</t>
  </si>
  <si>
    <t>Fuse holders for F1-F4</t>
  </si>
  <si>
    <t>5 × 20 mm</t>
  </si>
  <si>
    <t>https://www.digikey.co.za/en/products/detail/schurter-inc/0031-8201/669925</t>
  </si>
  <si>
    <t>1858772</t>
  </si>
  <si>
    <t>3-position 7.62 mm female terminal-block plug with screw termination</t>
  </si>
  <si>
    <t>N/A (cable-side plug)</t>
  </si>
  <si>
    <t>Mating plugs for J2,J8,J9</t>
  </si>
  <si>
    <t>3-pos 7.62 mm</t>
  </si>
  <si>
    <t>1757019</t>
  </si>
  <si>
    <t>2-position 5.08 mm female terminal-block plug with screw termination</t>
  </si>
  <si>
    <t>Mating plug for J12</t>
  </si>
  <si>
    <t>2-pos 5.08 mm</t>
  </si>
  <si>
    <t>https://www.digikey.co.za/en/products/detail/phoenix-contact/1757019/260379</t>
  </si>
  <si>
    <t>2CH-C-04</t>
  </si>
  <si>
    <t>4-position 2.00 mm cable receptacle housing</t>
  </si>
  <si>
    <t>N/A (cable-side housing)</t>
  </si>
  <si>
    <t>Mating housing for J3</t>
  </si>
  <si>
    <t>4-pos 2.00 mm</t>
  </si>
  <si>
    <t>https://www.digikey.co.za/en/products/detail/adam-tech/2CH-C-04/9830303</t>
  </si>
  <si>
    <t>2CTC-R</t>
  </si>
  <si>
    <t>Female crimp socket contact, 22-28 AWG, for Adam Tech 2CH housing</t>
  </si>
  <si>
    <t>N/A (loose crimp contact)</t>
  </si>
  <si>
    <t>Contacts for J3 housing</t>
  </si>
  <si>
    <t>22-28 AWG</t>
  </si>
  <si>
    <t>https://www.digikey.co.za/en/products?keywords=2CTC-R</t>
  </si>
  <si>
    <t>XHP-8</t>
  </si>
  <si>
    <t>8-position 2.50 mm JST XH cable receptacle housing</t>
  </si>
  <si>
    <t>Mating housing for J4</t>
  </si>
  <si>
    <t>8-pos 2.50 mm</t>
  </si>
  <si>
    <t>https://www.digikey.co.za/en/products/detail/jst-sales-america-inc/XHP-8/923773</t>
  </si>
  <si>
    <t>SXH-001T-P0.6</t>
  </si>
  <si>
    <t>Female crimp socket contact for JST XH housing</t>
  </si>
  <si>
    <t>Contacts for J4 housing</t>
  </si>
  <si>
    <t>8-position Micro-Fit 3.0 cable receptacle housing</t>
  </si>
  <si>
    <t>Mating housing for J5</t>
  </si>
  <si>
    <t>8-pos 3.00 mm</t>
  </si>
  <si>
    <t>https://www.digikey.co.za/en/products/detail/molex/0430250800/252499</t>
  </si>
  <si>
    <t>PHR-2</t>
  </si>
  <si>
    <t>2-position 2.00 mm JST PH cable receptacle housing</t>
  </si>
  <si>
    <t>Mating housing for J6</t>
  </si>
  <si>
    <t>2-pos 2.00 mm</t>
  </si>
  <si>
    <t>https://www.digikey.co.za/en/products/detail/jst-sales-america-inc/PHR-2/608607</t>
  </si>
  <si>
    <t>PHR-3</t>
  </si>
  <si>
    <t>3-position 2.00 mm JST PH cable receptacle housing</t>
  </si>
  <si>
    <t>Mating housings for J10,J11</t>
  </si>
  <si>
    <t>3-pos 2.00 mm</t>
  </si>
  <si>
    <t>https://www.digikey.co.za/en/products/detail/jst-sales-america-inc/PHR-3/527357</t>
  </si>
  <si>
    <t>PHR-5</t>
  </si>
  <si>
    <t>5-position 2.00 mm JST PH cable receptacle housing</t>
  </si>
  <si>
    <t>Mating housing for J7</t>
  </si>
  <si>
    <t>5-pos 2.00 mm</t>
  </si>
  <si>
    <t>SP-3533-02</t>
  </si>
  <si>
    <t>3.5 mm stereo TRS cable plug with solder termination</t>
  </si>
  <si>
    <t>Mating plug for J1</t>
  </si>
  <si>
    <t>3.5 mm TRS</t>
  </si>
  <si>
    <t>https://www.digikey.co.za/en/products?keywords=SP-3533-02</t>
  </si>
  <si>
    <t>6412 SL005</t>
  </si>
  <si>
    <t>2-conductor 24 AWG shielded twisted-pair audio cable, 100 ft</t>
  </si>
  <si>
    <t>Alpha Wire</t>
  </si>
  <si>
    <t>N/A (bulk cable)</t>
  </si>
  <si>
    <t>Shielded audio cable for J1</t>
  </si>
  <si>
    <t>24 AWG shielded pair</t>
  </si>
  <si>
    <t>3050 BK005</t>
  </si>
  <si>
    <t>24 AWG stranded black hook-up wire, 100 ft</t>
  </si>
  <si>
    <t>N/A (bulk wire)</t>
  </si>
  <si>
    <t>Signal and ground harness wiring</t>
  </si>
  <si>
    <t>24 AWG black</t>
  </si>
  <si>
    <t>3050 RD005</t>
  </si>
  <si>
    <t>24 AWG stranded red hook-up wire, 100 ft</t>
  </si>
  <si>
    <t>Low-current power harness wiring</t>
  </si>
  <si>
    <t>24 AWG red</t>
  </si>
  <si>
    <t>3053 BK005</t>
  </si>
  <si>
    <t>20 AWG stranded black hook-up wire, 100 ft</t>
  </si>
  <si>
    <t>Fan and higher-current ground wiring</t>
  </si>
  <si>
    <t>20 AWG black</t>
  </si>
  <si>
    <t>3053 RD005</t>
  </si>
  <si>
    <t>20 AWG stranded red hook-up wire, 100 ft</t>
  </si>
  <si>
    <t>Fan and higher-current power wiring</t>
  </si>
  <si>
    <t>20 AWG red</t>
  </si>
  <si>
    <t>TOTAL</t>
  </si>
  <si>
    <t>https://www.digikey.co.za/en/products/detail/same-sky-formerly-cui-devices/TBP05P1-762-03BE/15775556</t>
  </si>
  <si>
    <t>https://www.digikey.co.za/en/products/detail/jst-sales-america-inc/SXH-001T-P0-6/26213115</t>
  </si>
  <si>
    <t>https://www.digikey.co.za/en/products/detail/jst-sales-america-inc/PHR-5/608605</t>
  </si>
  <si>
    <t>KiCAD Assinged</t>
  </si>
  <si>
    <t>BDD 20X4 I2C SERIAL LCD</t>
  </si>
  <si>
    <t>Communica</t>
  </si>
  <si>
    <t>https://www.communica.co.za/products/bdd-20x4-i2c-serial-lcd?variant=50302900240684</t>
  </si>
  <si>
    <t>C20,C54</t>
  </si>
  <si>
    <t>COUT5,COUT6,COUT1,COUT2</t>
  </si>
  <si>
    <t>L1, L2</t>
  </si>
  <si>
    <t>RFBB1,RFBB2</t>
  </si>
  <si>
    <t>https://www.communica.co.za/products/wvs-fandc005040-20-pwm?variant=50139932786988</t>
  </si>
  <si>
    <t>5 V 40 × 40 × 20 mm 4-wire PWM/tach fan</t>
  </si>
  <si>
    <t>WVS FANDC005040-20-PWM</t>
  </si>
  <si>
    <t>R14,R15</t>
  </si>
  <si>
    <t>100 Ω axial resistor (lab stock; tolerance and power unknown)</t>
  </si>
  <si>
    <t>2N7002</t>
  </si>
  <si>
    <t>Mosfet</t>
  </si>
  <si>
    <t>Q22</t>
  </si>
  <si>
    <t>4.7 kΩ axial resistor (lab stock; tolerance and power unknown)</t>
  </si>
  <si>
    <t>4.7k</t>
  </si>
  <si>
    <t>R6,R7,R9,R48,R55,RFBT1,RFBT2</t>
  </si>
  <si>
    <t>Price(ZAR)</t>
  </si>
  <si>
    <t>0031.8201</t>
  </si>
  <si>
    <t>0430250800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</si>
</sst>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42" x14ac:knownFonts="1">
    <font>
      <sz val="11"/>
      <color theme="1"/>
      <name val="Aptos Narrow"/>
    </font>
    <font>
      <sz val="11"/>
      <color theme="1"/>
      <name val="Aptos Narrow"/>
      <family val="2"/>
    </font>
    <font>
      <sz val="18"/>
      <color theme="3"/>
      <name val="Aptos Display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1"/>
      <color rgb="FF006100"/>
      <name val="Aptos Narrow"/>
      <family val="2"/>
    </font>
    <font>
      <sz val="11"/>
      <color rgb="FF9C0006"/>
      <name val="Aptos Narrow"/>
      <family val="2"/>
    </font>
    <font>
      <sz val="11"/>
      <color rgb="FF9C5700"/>
      <name val="Aptos Narrow"/>
      <family val="2"/>
    </font>
    <font>
      <sz val="11"/>
      <color rgb="FF3F3F76"/>
      <name val="Aptos Narrow"/>
      <family val="2"/>
    </font>
    <font>
      <b/>
      <sz val="11"/>
      <color rgb="FF3F3F3F"/>
      <name val="Aptos Narrow"/>
      <family val="2"/>
    </font>
    <font>
      <b/>
      <sz val="11"/>
      <color rgb="FFFA7D00"/>
      <name val="Aptos Narrow"/>
      <family val="2"/>
    </font>
    <font>
      <sz val="11"/>
      <color rgb="FFFA7D00"/>
      <name val="Aptos Narrow"/>
      <family val="2"/>
    </font>
    <font>
      <b/>
      <sz val="11"/>
      <color theme="0"/>
      <name val="Aptos Narrow"/>
      <family val="2"/>
    </font>
    <font>
      <sz val="11"/>
      <color rgb="FFFF0000"/>
      <name val="Aptos Narrow"/>
      <family val="2"/>
    </font>
    <font>
      <i/>
      <sz val="11"/>
      <color rgb="FF7F7F7F"/>
      <name val="Aptos Narrow"/>
      <family val="2"/>
    </font>
    <font>
      <b/>
      <sz val="11"/>
      <color theme="1"/>
      <name val="Aptos Narrow"/>
      <family val="2"/>
    </font>
    <font>
      <sz val="11"/>
      <color theme="0"/>
      <name val="Aptos Narrow"/>
      <family val="2"/>
    </font>
    <font>
      <sz val="11"/>
      <color theme="1"/>
      <name val="Aptos Narrow"/>
      <family val="2"/>
    </font>
    <font>
      <sz val="18"/>
      <color theme="3"/>
      <name val="Aptos Display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1"/>
      <color rgb="FF006100"/>
      <name val="Aptos Narrow"/>
      <family val="2"/>
    </font>
    <font>
      <sz val="11"/>
      <color rgb="FF9C0006"/>
      <name val="Aptos Narrow"/>
      <family val="2"/>
    </font>
    <font>
      <sz val="11"/>
      <color rgb="FF9C5700"/>
      <name val="Aptos Narrow"/>
      <family val="2"/>
    </font>
    <font>
      <sz val="11"/>
      <color rgb="FF3F3F76"/>
      <name val="Aptos Narrow"/>
      <family val="2"/>
    </font>
    <font>
      <b/>
      <sz val="11"/>
      <color rgb="FF3F3F3F"/>
      <name val="Aptos Narrow"/>
      <family val="2"/>
    </font>
    <font>
      <b/>
      <sz val="11"/>
      <color rgb="FFFA7D00"/>
      <name val="Aptos Narrow"/>
      <family val="2"/>
    </font>
    <font>
      <sz val="11"/>
      <color rgb="FFFA7D00"/>
      <name val="Aptos Narrow"/>
      <family val="2"/>
    </font>
    <font>
      <b/>
      <sz val="11"/>
      <color theme="0"/>
      <name val="Aptos Narrow"/>
      <family val="2"/>
    </font>
    <font>
      <sz val="11"/>
      <color rgb="FFFF0000"/>
      <name val="Aptos Narrow"/>
      <family val="2"/>
    </font>
    <font>
      <i/>
      <sz val="11"/>
      <color rgb="FF7F7F7F"/>
      <name val="Aptos Narrow"/>
      <family val="2"/>
    </font>
    <font>
      <b/>
      <sz val="11"/>
      <color theme="1"/>
      <name val="Aptos Narrow"/>
      <family val="2"/>
    </font>
    <font>
      <sz val="11"/>
      <color theme="0"/>
      <name val="Aptos Narrow"/>
      <family val="2"/>
    </font>
    <font>
      <b/>
      <sz val="11"/>
      <color rgb="FF1F3A5F"/>
      <name val="Aptos Narrow"/>
      <family val="2"/>
    </font>
    <font>
      <sz val="11"/>
      <color rgb="FF0563C1"/>
      <name val="Aptos Narrow"/>
      <family val="2"/>
    </font>
    <font>
      <b/>
      <sz val="11"/>
      <color rgb="FF0563C1"/>
      <name val="Aptos Narrow"/>
      <family val="2"/>
    </font>
    <font>
      <u/>
      <sz val="11"/>
      <color theme="10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b/>
      <sz val="11"/>
      <color theme="0"/>
      <name val="Aptos Narrow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5" tint="0.59993285927915285"/>
        <bgColor indexed="65"/>
      </patternFill>
    </fill>
    <fill>
      <patternFill patternType="solid">
        <fgColor theme="6" tint="0.79992065187536243"/>
        <bgColor indexed="65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7" tint="0.79992065187536243"/>
        <bgColor indexed="65"/>
      </patternFill>
    </fill>
    <fill>
      <patternFill patternType="solid">
        <fgColor theme="7" tint="0.59993285927915285"/>
        <bgColor indexed="65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9" tint="0.59993285927915285"/>
        <bgColor indexed="65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 style="thin">
        <color rgb="FF7F8C8D"/>
      </top>
      <bottom style="thin">
        <color rgb="FF7F8C8D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8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1" applyNumberFormat="0" applyFill="0" applyAlignment="0" applyProtection="0"/>
    <xf numFmtId="0" fontId="21" fillId="0" borderId="10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4" applyNumberFormat="0" applyAlignment="0" applyProtection="0"/>
    <xf numFmtId="0" fontId="27" fillId="6" borderId="5" applyNumberFormat="0" applyAlignment="0" applyProtection="0"/>
    <xf numFmtId="0" fontId="28" fillId="6" borderId="4" applyNumberFormat="0" applyAlignment="0" applyProtection="0"/>
    <xf numFmtId="0" fontId="29" fillId="0" borderId="6" applyNumberFormat="0" applyFill="0" applyAlignment="0" applyProtection="0"/>
    <xf numFmtId="0" fontId="30" fillId="7" borderId="7" applyNumberFormat="0" applyAlignment="0" applyProtection="0"/>
    <xf numFmtId="0" fontId="31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9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12" borderId="0" applyNumberFormat="0" applyBorder="0" applyAlignment="0" applyProtection="0"/>
    <xf numFmtId="0" fontId="34" fillId="13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16" borderId="0" applyNumberFormat="0" applyBorder="0" applyAlignment="0" applyProtection="0"/>
    <xf numFmtId="0" fontId="34" fillId="17" borderId="0" applyNumberFormat="0" applyBorder="0" applyAlignment="0" applyProtection="0"/>
    <xf numFmtId="0" fontId="18" fillId="37" borderId="0" applyNumberFormat="0" applyBorder="0" applyAlignment="0" applyProtection="0"/>
    <xf numFmtId="0" fontId="18" fillId="38" borderId="0" applyNumberFormat="0" applyBorder="0" applyAlignment="0" applyProtection="0"/>
    <xf numFmtId="0" fontId="18" fillId="20" borderId="0" applyNumberFormat="0" applyBorder="0" applyAlignment="0" applyProtection="0"/>
    <xf numFmtId="0" fontId="34" fillId="21" borderId="0" applyNumberFormat="0" applyBorder="0" applyAlignment="0" applyProtection="0"/>
    <xf numFmtId="0" fontId="18" fillId="39" borderId="0" applyNumberFormat="0" applyBorder="0" applyAlignment="0" applyProtection="0"/>
    <xf numFmtId="0" fontId="18" fillId="40" borderId="0" applyNumberFormat="0" applyBorder="0" applyAlignment="0" applyProtection="0"/>
    <xf numFmtId="0" fontId="18" fillId="24" borderId="0" applyNumberFormat="0" applyBorder="0" applyAlignment="0" applyProtection="0"/>
    <xf numFmtId="0" fontId="34" fillId="25" borderId="0" applyNumberFormat="0" applyBorder="0" applyAlignment="0" applyProtection="0"/>
    <xf numFmtId="0" fontId="18" fillId="41" borderId="0" applyNumberFormat="0" applyBorder="0" applyAlignment="0" applyProtection="0"/>
    <xf numFmtId="0" fontId="18" fillId="42" borderId="0" applyNumberFormat="0" applyBorder="0" applyAlignment="0" applyProtection="0"/>
    <xf numFmtId="0" fontId="18" fillId="28" borderId="0" applyNumberFormat="0" applyBorder="0" applyAlignment="0" applyProtection="0"/>
    <xf numFmtId="0" fontId="34" fillId="29" borderId="0" applyNumberFormat="0" applyBorder="0" applyAlignment="0" applyProtection="0"/>
    <xf numFmtId="0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32" borderId="0" applyNumberFormat="0" applyBorder="0" applyAlignment="0" applyProtection="0"/>
    <xf numFmtId="0" fontId="38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2" fontId="0" fillId="0" borderId="0" xfId="0" applyNumberFormat="1" applyAlignment="1">
      <alignment horizontal="left" vertical="center"/>
    </xf>
    <xf numFmtId="0" fontId="38" fillId="0" borderId="0" xfId="84" applyAlignment="1">
      <alignment horizontal="left" vertical="center"/>
    </xf>
    <xf numFmtId="0" fontId="36" fillId="0" borderId="0" xfId="0" applyFont="1" applyAlignment="1">
      <alignment horizontal="left" vertical="center"/>
    </xf>
    <xf numFmtId="6" fontId="0" fillId="0" borderId="0" xfId="0" applyNumberFormat="1" applyAlignment="1">
      <alignment horizontal="left" vertical="center" wrapText="1"/>
    </xf>
    <xf numFmtId="0" fontId="35" fillId="45" borderId="11" xfId="0" applyFont="1" applyFill="1" applyBorder="1" applyAlignment="1">
      <alignment horizontal="left" vertical="center"/>
    </xf>
    <xf numFmtId="0" fontId="35" fillId="45" borderId="11" xfId="0" applyFont="1" applyFill="1" applyBorder="1" applyAlignment="1">
      <alignment horizontal="left" vertical="center" wrapText="1"/>
    </xf>
    <xf numFmtId="2" fontId="35" fillId="45" borderId="11" xfId="0" applyNumberFormat="1" applyFont="1" applyFill="1" applyBorder="1" applyAlignment="1">
      <alignment horizontal="left" vertical="center"/>
    </xf>
    <xf numFmtId="0" fontId="37" fillId="45" borderId="11" xfId="0" applyFont="1" applyFill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40" fillId="47" borderId="0" xfId="0" applyFont="1" applyFill="1" applyAlignment="1">
      <alignment horizontal="left" vertical="center"/>
    </xf>
    <xf numFmtId="0" fontId="36" fillId="47" borderId="0" xfId="0" applyFont="1" applyFill="1" applyAlignment="1">
      <alignment horizontal="left" vertical="center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left" vertical="center"/>
    </xf>
    <xf numFmtId="0" fontId="37" fillId="47" borderId="0" xfId="0" applyFont="1" applyFill="1" applyAlignment="1">
      <alignment horizontal="left" vertical="center"/>
    </xf>
    <xf numFmtId="0" fontId="38" fillId="48" borderId="0" xfId="84" applyFill="1" applyAlignment="1">
      <alignment horizontal="left" vertical="center"/>
    </xf>
    <xf numFmtId="0" fontId="36" fillId="48" borderId="0" xfId="0" applyFont="1" applyFill="1" applyAlignment="1">
      <alignment horizontal="left" vertical="center"/>
    </xf>
    <xf numFmtId="0" fontId="16" fillId="46" borderId="13" xfId="0" applyFont="1" applyFill="1" applyBorder="1" applyAlignment="1">
      <alignment horizontal="left" vertical="center"/>
    </xf>
    <xf numFmtId="2" fontId="16" fillId="46" borderId="13" xfId="0" applyNumberFormat="1" applyFont="1" applyFill="1" applyBorder="1" applyAlignment="1">
      <alignment horizontal="left" vertical="center"/>
    </xf>
    <xf numFmtId="0" fontId="0" fillId="49" borderId="12" xfId="0" applyFill="1" applyBorder="1" applyAlignment="1">
      <alignment horizontal="left" vertical="center" wrapText="1"/>
    </xf>
    <xf numFmtId="0" fontId="0" fillId="49" borderId="12" xfId="0" applyFill="1" applyBorder="1" applyAlignment="1">
      <alignment horizontal="left" vertical="center"/>
    </xf>
    <xf numFmtId="2" fontId="0" fillId="49" borderId="12" xfId="0" applyNumberFormat="1" applyFill="1" applyBorder="1" applyAlignment="1">
      <alignment horizontal="left" vertical="center"/>
    </xf>
    <xf numFmtId="0" fontId="38" fillId="49" borderId="12" xfId="84" applyFill="1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2" fontId="0" fillId="0" borderId="12" xfId="0" applyNumberFormat="1" applyBorder="1" applyAlignment="1">
      <alignment horizontal="left" vertical="center"/>
    </xf>
    <xf numFmtId="0" fontId="38" fillId="0" borderId="12" xfId="84" applyBorder="1" applyAlignment="1">
      <alignment horizontal="left" vertical="center"/>
    </xf>
    <xf numFmtId="0" fontId="36" fillId="49" borderId="12" xfId="0" applyFont="1" applyFill="1" applyBorder="1" applyAlignment="1">
      <alignment horizontal="left" vertical="center"/>
    </xf>
    <xf numFmtId="0" fontId="36" fillId="0" borderId="12" xfId="0" applyFont="1" applyBorder="1" applyAlignment="1">
      <alignment horizontal="left" vertical="center"/>
    </xf>
    <xf numFmtId="49" fontId="0" fillId="49" borderId="12" xfId="0" applyNumberFormat="1" applyFill="1" applyBorder="1" applyAlignment="1">
      <alignment horizontal="left" vertical="center"/>
    </xf>
    <xf numFmtId="49" fontId="0" fillId="0" borderId="12" xfId="0" applyNumberFormat="1" applyBorder="1" applyAlignment="1">
      <alignment horizontal="left" vertical="center"/>
    </xf>
    <xf numFmtId="0" fontId="38" fillId="48" borderId="12" xfId="84" applyFill="1" applyBorder="1" applyAlignment="1">
      <alignment horizontal="left" vertical="center"/>
    </xf>
    <xf numFmtId="0" fontId="36" fillId="48" borderId="12" xfId="0" applyFont="1" applyFill="1" applyBorder="1" applyAlignment="1">
      <alignment horizontal="left" vertical="center"/>
    </xf>
    <xf numFmtId="0" fontId="36" fillId="47" borderId="12" xfId="0" applyFont="1" applyFill="1" applyBorder="1" applyAlignment="1">
      <alignment horizontal="left" vertical="center"/>
    </xf>
    <xf numFmtId="0" fontId="13" fillId="50" borderId="14" xfId="0" applyFont="1" applyFill="1" applyBorder="1" applyAlignment="1">
      <alignment vertical="center"/>
    </xf>
    <xf numFmtId="49" fontId="0" fillId="0" borderId="15" xfId="0" applyNumberFormat="1" applyBorder="1" applyAlignment="1">
      <alignment horizontal="left" vertical="center"/>
    </xf>
    <xf numFmtId="0" fontId="0" fillId="0" borderId="15" xfId="0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2" fontId="0" fillId="0" borderId="15" xfId="0" applyNumberFormat="1" applyBorder="1" applyAlignment="1">
      <alignment horizontal="left" vertical="center"/>
    </xf>
    <xf numFmtId="0" fontId="36" fillId="0" borderId="15" xfId="0" applyFont="1" applyBorder="1" applyAlignment="1">
      <alignment horizontal="left" vertical="center"/>
    </xf>
    <xf numFmtId="0" fontId="36" fillId="47" borderId="15" xfId="0" applyFont="1" applyFill="1" applyBorder="1" applyAlignment="1">
      <alignment horizontal="left" vertical="center"/>
    </xf>
    <xf numFmtId="0" fontId="0" fillId="49" borderId="15" xfId="0" applyFill="1" applyBorder="1" applyAlignment="1">
      <alignment horizontal="left" vertical="center" wrapText="1"/>
    </xf>
    <xf numFmtId="0" fontId="0" fillId="49" borderId="15" xfId="0" applyFill="1" applyBorder="1" applyAlignment="1">
      <alignment horizontal="left" vertical="center"/>
    </xf>
    <xf numFmtId="2" fontId="0" fillId="49" borderId="15" xfId="0" applyNumberFormat="1" applyFill="1" applyBorder="1" applyAlignment="1">
      <alignment horizontal="left" vertical="center"/>
    </xf>
    <xf numFmtId="0" fontId="36" fillId="49" borderId="15" xfId="0" applyFont="1" applyFill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2" fontId="16" fillId="0" borderId="13" xfId="0" applyNumberFormat="1" applyFont="1" applyBorder="1" applyAlignment="1">
      <alignment horizontal="left" vertical="center"/>
    </xf>
    <xf numFmtId="0" fontId="41" fillId="50" borderId="14" xfId="0" applyFont="1" applyFill="1" applyBorder="1" applyAlignment="1">
      <alignment vertical="center"/>
    </xf>
  </cellXfs>
  <cellStyles count="85">
    <cellStyle name="20% - Accent1" xfId="19" xr:uid="{00000000-0005-0000-0000-000000000000}"/>
    <cellStyle name="20% - Accent1 2" xfId="61" xr:uid="{00000000-0005-0000-0000-000001000000}"/>
    <cellStyle name="20% - Accent2" xfId="23" xr:uid="{00000000-0005-0000-0000-000002000000}"/>
    <cellStyle name="20% - Accent2 2" xfId="65" xr:uid="{00000000-0005-0000-0000-000003000000}"/>
    <cellStyle name="20% - Accent3" xfId="27" xr:uid="{00000000-0005-0000-0000-000004000000}"/>
    <cellStyle name="20% - Accent3 2" xfId="69" xr:uid="{00000000-0005-0000-0000-000005000000}"/>
    <cellStyle name="20% - Accent4" xfId="31" xr:uid="{00000000-0005-0000-0000-000006000000}"/>
    <cellStyle name="20% - Accent4 2" xfId="73" xr:uid="{00000000-0005-0000-0000-000007000000}"/>
    <cellStyle name="20% - Accent5" xfId="35" xr:uid="{00000000-0005-0000-0000-000008000000}"/>
    <cellStyle name="20% - Accent5 2" xfId="77" xr:uid="{00000000-0005-0000-0000-000009000000}"/>
    <cellStyle name="20% - Accent6" xfId="39" xr:uid="{00000000-0005-0000-0000-00000A000000}"/>
    <cellStyle name="20% - Accent6 2" xfId="81" xr:uid="{00000000-0005-0000-0000-00000B000000}"/>
    <cellStyle name="40% - Accent1" xfId="20" xr:uid="{00000000-0005-0000-0000-00000C000000}"/>
    <cellStyle name="40% - Accent1 2" xfId="62" xr:uid="{00000000-0005-0000-0000-00000D000000}"/>
    <cellStyle name="40% - Accent2" xfId="24" xr:uid="{00000000-0005-0000-0000-00000E000000}"/>
    <cellStyle name="40% - Accent2 2" xfId="66" xr:uid="{00000000-0005-0000-0000-00000F000000}"/>
    <cellStyle name="40% - Accent3" xfId="28" xr:uid="{00000000-0005-0000-0000-000010000000}"/>
    <cellStyle name="40% - Accent3 2" xfId="70" xr:uid="{00000000-0005-0000-0000-000011000000}"/>
    <cellStyle name="40% - Accent4" xfId="32" xr:uid="{00000000-0005-0000-0000-000012000000}"/>
    <cellStyle name="40% - Accent4 2" xfId="74" xr:uid="{00000000-0005-0000-0000-000013000000}"/>
    <cellStyle name="40% - Accent5" xfId="36" xr:uid="{00000000-0005-0000-0000-000014000000}"/>
    <cellStyle name="40% - Accent5 2" xfId="78" xr:uid="{00000000-0005-0000-0000-000015000000}"/>
    <cellStyle name="40% - Accent6" xfId="40" xr:uid="{00000000-0005-0000-0000-000016000000}"/>
    <cellStyle name="40% - Accent6 2" xfId="82" xr:uid="{00000000-0005-0000-0000-000017000000}"/>
    <cellStyle name="60% - Accent1" xfId="21" xr:uid="{00000000-0005-0000-0000-000018000000}"/>
    <cellStyle name="60% - Accent1 2" xfId="63" xr:uid="{00000000-0005-0000-0000-000019000000}"/>
    <cellStyle name="60% - Accent2" xfId="25" xr:uid="{00000000-0005-0000-0000-00001A000000}"/>
    <cellStyle name="60% - Accent2 2" xfId="67" xr:uid="{00000000-0005-0000-0000-00001B000000}"/>
    <cellStyle name="60% - Accent3" xfId="29" xr:uid="{00000000-0005-0000-0000-00001C000000}"/>
    <cellStyle name="60% - Accent3 2" xfId="71" xr:uid="{00000000-0005-0000-0000-00001D000000}"/>
    <cellStyle name="60% - Accent4" xfId="33" xr:uid="{00000000-0005-0000-0000-00001E000000}"/>
    <cellStyle name="60% - Accent4 2" xfId="75" xr:uid="{00000000-0005-0000-0000-00001F000000}"/>
    <cellStyle name="60% - Accent5" xfId="37" xr:uid="{00000000-0005-0000-0000-000020000000}"/>
    <cellStyle name="60% - Accent5 2" xfId="79" xr:uid="{00000000-0005-0000-0000-000021000000}"/>
    <cellStyle name="60% - Accent6" xfId="41" xr:uid="{00000000-0005-0000-0000-000022000000}"/>
    <cellStyle name="60% - Accent6 2" xfId="83" xr:uid="{00000000-0005-0000-0000-000023000000}"/>
    <cellStyle name="Accent1" xfId="18" xr:uid="{00000000-0005-0000-0000-000024000000}"/>
    <cellStyle name="Accent1 2" xfId="60" xr:uid="{00000000-0005-0000-0000-000025000000}"/>
    <cellStyle name="Accent2" xfId="22" xr:uid="{00000000-0005-0000-0000-000026000000}"/>
    <cellStyle name="Accent2 2" xfId="64" xr:uid="{00000000-0005-0000-0000-000027000000}"/>
    <cellStyle name="Accent3" xfId="26" xr:uid="{00000000-0005-0000-0000-000028000000}"/>
    <cellStyle name="Accent3 2" xfId="68" xr:uid="{00000000-0005-0000-0000-000029000000}"/>
    <cellStyle name="Accent4" xfId="30" xr:uid="{00000000-0005-0000-0000-00002A000000}"/>
    <cellStyle name="Accent4 2" xfId="72" xr:uid="{00000000-0005-0000-0000-00002B000000}"/>
    <cellStyle name="Accent5" xfId="34" xr:uid="{00000000-0005-0000-0000-00002C000000}"/>
    <cellStyle name="Accent5 2" xfId="76" xr:uid="{00000000-0005-0000-0000-00002D000000}"/>
    <cellStyle name="Accent6" xfId="38" xr:uid="{00000000-0005-0000-0000-00002E000000}"/>
    <cellStyle name="Accent6 2" xfId="80" xr:uid="{00000000-0005-0000-0000-00002F000000}"/>
    <cellStyle name="Bad" xfId="7" xr:uid="{00000000-0005-0000-0000-000030000000}"/>
    <cellStyle name="Bad 2" xfId="49" xr:uid="{00000000-0005-0000-0000-000031000000}"/>
    <cellStyle name="Calculation" xfId="11" xr:uid="{00000000-0005-0000-0000-000032000000}"/>
    <cellStyle name="Calculation 2" xfId="53" xr:uid="{00000000-0005-0000-0000-000033000000}"/>
    <cellStyle name="Check Cell" xfId="13" xr:uid="{00000000-0005-0000-0000-000034000000}"/>
    <cellStyle name="Check Cell 2" xfId="55" xr:uid="{00000000-0005-0000-0000-000035000000}"/>
    <cellStyle name="Explanatory Text" xfId="16" xr:uid="{00000000-0005-0000-0000-000036000000}"/>
    <cellStyle name="Explanatory Text 2" xfId="58" xr:uid="{00000000-0005-0000-0000-000037000000}"/>
    <cellStyle name="Good" xfId="6" xr:uid="{00000000-0005-0000-0000-000038000000}"/>
    <cellStyle name="Good 2" xfId="48" xr:uid="{00000000-0005-0000-0000-000039000000}"/>
    <cellStyle name="Heading 1" xfId="2" xr:uid="{00000000-0005-0000-0000-00003A000000}"/>
    <cellStyle name="Heading 1 2" xfId="44" xr:uid="{00000000-0005-0000-0000-00003B000000}"/>
    <cellStyle name="Heading 2" xfId="3" xr:uid="{00000000-0005-0000-0000-00003C000000}"/>
    <cellStyle name="Heading 2 2" xfId="45" xr:uid="{00000000-0005-0000-0000-00003D000000}"/>
    <cellStyle name="Heading 3" xfId="4" xr:uid="{00000000-0005-0000-0000-00003E000000}"/>
    <cellStyle name="Heading 3 2" xfId="46" xr:uid="{00000000-0005-0000-0000-00003F000000}"/>
    <cellStyle name="Heading 4" xfId="5" xr:uid="{00000000-0005-0000-0000-000040000000}"/>
    <cellStyle name="Heading 4 2" xfId="47" xr:uid="{00000000-0005-0000-0000-000041000000}"/>
    <cellStyle name="Hyperlink" xfId="84" builtinId="8"/>
    <cellStyle name="Input" xfId="9" xr:uid="{00000000-0005-0000-0000-000042000000}"/>
    <cellStyle name="Input 2" xfId="51" xr:uid="{00000000-0005-0000-0000-000043000000}"/>
    <cellStyle name="Linked Cell" xfId="12" xr:uid="{00000000-0005-0000-0000-000044000000}"/>
    <cellStyle name="Linked Cell 2" xfId="54" xr:uid="{00000000-0005-0000-0000-000045000000}"/>
    <cellStyle name="Neutral" xfId="8" xr:uid="{00000000-0005-0000-0000-000046000000}"/>
    <cellStyle name="Neutral 2" xfId="50" xr:uid="{00000000-0005-0000-0000-000047000000}"/>
    <cellStyle name="Normal" xfId="0" builtinId="0"/>
    <cellStyle name="Normal 2" xfId="42" xr:uid="{00000000-0005-0000-0000-000049000000}"/>
    <cellStyle name="Note" xfId="15" xr:uid="{00000000-0005-0000-0000-00004A000000}"/>
    <cellStyle name="Note 2" xfId="57" xr:uid="{00000000-0005-0000-0000-00004B000000}"/>
    <cellStyle name="Output" xfId="10" xr:uid="{00000000-0005-0000-0000-00004C000000}"/>
    <cellStyle name="Output 2" xfId="52" xr:uid="{00000000-0005-0000-0000-00004D000000}"/>
    <cellStyle name="Title" xfId="1" xr:uid="{00000000-0005-0000-0000-00004E000000}"/>
    <cellStyle name="Title 2" xfId="43" xr:uid="{00000000-0005-0000-0000-00004F000000}"/>
    <cellStyle name="Total" xfId="17" xr:uid="{00000000-0005-0000-0000-000050000000}"/>
    <cellStyle name="Total 2" xfId="59" xr:uid="{00000000-0005-0000-0000-000051000000}"/>
    <cellStyle name="Warning Text" xfId="14" xr:uid="{00000000-0005-0000-0000-000052000000}"/>
    <cellStyle name="Warning Text 2" xfId="56" xr:uid="{00000000-0005-0000-0000-000053000000}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563C1"/>
        <name val="Aptos Narrow"/>
        <scheme val="none"/>
      </font>
      <fill>
        <patternFill patternType="solid">
          <fgColor indexed="64"/>
          <bgColor rgb="FFFF000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563C1"/>
        <name val="Aptos Narrow"/>
        <scheme val="none"/>
      </font>
      <fill>
        <patternFill patternType="solid">
          <fgColor indexed="64"/>
          <bgColor rgb="FFFF000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563C1"/>
        <name val="Aptos Narrow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2" formatCode="0.00"/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563C1"/>
        <name val="Aptos Narrow"/>
        <scheme val="none"/>
      </font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numFmt numFmtId="2" formatCode="0.00"/>
      <alignment horizontal="left" vertical="center" textRotation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88" dataDxfId="31">
  <autoFilter ref="A1:K88" xr:uid="{00000000-000C-0000-FFFF-FFFF00000000}">
    <filterColumn colId="9">
      <filters>
        <filter val="https://www.digikey.co.za/en/products/detail/adam-tech/2CH-C-04/9830303"/>
        <filter val="https://www.digikey.co.za/en/products/detail/adam-tech/2SH-C-04-TS/9830678"/>
        <filter val="https://www.digikey.co.za/en/products/detail/bourns-inc/3296W-1-102LF/1088044"/>
        <filter val="https://www.digikey.co.za/en/products/detail/bourns-inc/PTD902-2015K-A103/3820463"/>
        <filter val="https://www.digikey.co.za/en/products/detail/bourns-inc/PTD902-2215K-B103/24635169"/>
        <filter val="https://www.digikey.co.za/en/products/detail/bourns-inc/SRP1038A-100M/4876568"/>
        <filter val="https://www.digikey.co.za/en/products/detail/diodes-incorporated/BCM846BS-7/10295097"/>
        <filter val="https://www.digikey.co.za/en/products/detail/jst-sales-america-inc/B8B-XH-A/1651049"/>
        <filter val="https://www.digikey.co.za/en/products/detail/jst-sales-america-inc/PHR-2/608607"/>
        <filter val="https://www.digikey.co.za/en/products/detail/jst-sales-america-inc/PHR-3/527357"/>
        <filter val="https://www.digikey.co.za/en/products/detail/jst-sales-america-inc/PHR-5/608605"/>
        <filter val="https://www.digikey.co.za/en/products/detail/jst-sales-america-inc/SXH-001T-P0-6/26213115"/>
        <filter val="https://www.digikey.co.za/en/products/detail/jst-sales-america-inc/XHP-8/923773"/>
        <filter val="https://www.digikey.co.za/en/products/detail/molex/0430250800/252499"/>
        <filter val="https://www.digikey.co.za/en/products/detail/murata-electronics/GCJ31CC71H475KA01L/6606045"/>
        <filter val="https://www.digikey.co.za/en/products/detail/murata-electronics/GCM32EC71H106KA03L/4903991"/>
        <filter val="https://www.digikey.co.za/en/products/detail/murata-electronics/GJ821BR71H105KA12L/6606901"/>
        <filter val="https://www.digikey.co.za/en/products/detail/omron-electronics-inc-emc-div/B3F-1000/33150"/>
        <filter val="https://www.digikey.co.za/en/products/detail/panasonic-industry/ECE-A1HN2R2U/227638"/>
        <filter val="https://www.digikey.co.za/en/products/detail/phoenix-contact/1757019/260379"/>
        <filter val="https://www.digikey.co.za/en/products/detail/phoenix-contact/1757242/260474"/>
        <filter val="https://www.digikey.co.za/en/products/detail/phoenix-contact/1829167/2515041"/>
        <filter val="https://www.digikey.co.za/en/products/detail/same-sky-formerly-cui-devices/SJ1-3513/738683"/>
        <filter val="https://www.digikey.co.za/en/products/detail/same-sky-formerly-cui-devices/TBP05P1-762-03BE/15775556"/>
        <filter val="https://www.digikey.co.za/en/products/detail/schurter-inc/0031-8201/669925"/>
        <filter val="https://www.digikey.co.za/en/products/detail/stmicroelectronics/BD139/1037682"/>
        <filter val="https://www.digikey.co.za/en/products/detail/stmicroelectronics/BD140/1037683"/>
        <filter val="https://www.digikey.co.za/en/products/detail/stmicroelectronics/LM317T/591677"/>
        <filter val="https://www.digikey.co.za/en/products/detail/stmicroelectronics/STM32G031K8T6/10300267"/>
        <filter val="https://www.digikey.co.za/en/products/detail/stmicroelectronics/TIP35C/603634"/>
        <filter val="https://www.digikey.co.za/en/products/detail/stmicroelectronics/TIP36C/603629"/>
        <filter val="https://www.digikey.co.za/en/products/detail/texas-instruments/LM337T-NOPB/6222"/>
        <filter val="https://www.digikey.co.za/en/products/detail/texas-instruments/LMR36520FADDAR/11617629"/>
        <filter val="https://www.digikey.co.za/en/products/detail/texas-instruments/TLV75533PDBVR/9356541"/>
        <filter val="https://www.digikey.co.za/en/products?keywords=0477004.MXP"/>
        <filter val="https://www.digikey.co.za/en/products?keywords=2CTC-R"/>
        <filter val="https://www.digikey.co.za/en/products?keywords=43045-0812"/>
        <filter val="https://www.digikey.co.za/en/products?keywords=B2B-PH-K-S%28LF%29%28SN%29"/>
        <filter val="https://www.digikey.co.za/en/products?keywords=B3B-PH-K-S%28LF%29%28SN%29"/>
        <filter val="https://www.digikey.co.za/en/products?keywords=B5B-PH-K-S%28LF%29%28SN%29"/>
        <filter val="https://www.digikey.co.za/en/products?keywords=C0805C101J5GACTU"/>
        <filter val="https://www.digikey.co.za/en/products?keywords=C0805C301J5GACTU"/>
        <filter val="https://www.digikey.co.za/en/products?keywords=GRM32ER71E226KE15L"/>
        <filter val="https://www.digikey.co.za/en/products?keywords=MOS2CT52R100J"/>
        <filter val="https://www.digikey.co.za/en/products?keywords=RT0805BRD0724K9L"/>
        <filter val="https://www.digikey.co.za/en/products?keywords=SP-3533-02"/>
        <filter val="https://www.digikey.co.za/en/products?keywords=SQP500JB-0R33"/>
      </filters>
    </filterColumn>
  </autoFilter>
  <tableColumns count="11">
    <tableColumn id="1" xr3:uid="{00000000-0010-0000-0000-000001000000}" name="Part Number" totalsRowLabel="3053 RD005" dataDxfId="30"/>
    <tableColumn id="2" xr3:uid="{00000000-0010-0000-0000-000002000000}" name="Description" totalsRowLabel="20 AWG stranded red hook-up wire, 100 ft" dataDxfId="29"/>
    <tableColumn id="3" xr3:uid="{00000000-0010-0000-0000-000003000000}" name="Manufacturer" totalsRowLabel="Alpha Wire" dataDxfId="28"/>
    <tableColumn id="4" xr3:uid="{00000000-0010-0000-0000-000004000000}" name="Package" totalsRowLabel="N/A (bulk wire)" dataDxfId="27"/>
    <tableColumn id="5" xr3:uid="{00000000-0010-0000-0000-000005000000}" name="Reference" totalsRowLabel="Fan and higher-current power wiring" dataDxfId="26"/>
    <tableColumn id="6" xr3:uid="{00000000-0010-0000-0000-000006000000}" name="Qty" dataDxfId="25"/>
    <tableColumn id="7" xr3:uid="{00000000-0010-0000-0000-000007000000}" name="Value" dataDxfId="24"/>
    <tableColumn id="12" xr3:uid="{E789B1A8-406D-4F05-B177-7BF1F8F46C67}" name="Price(ZAR)" dataDxfId="23"/>
    <tableColumn id="9" xr3:uid="{00000000-0010-0000-0000-000009000000}" name="Price Total" dataDxfId="22">
      <calculatedColumnFormula>IFERROR(Table1[[#This Row],[Qty]]*Table1[[#This Row],[Price(ZAR)]],0)</calculatedColumnFormula>
    </tableColumn>
    <tableColumn id="10" xr3:uid="{00000000-0010-0000-0000-00000A000000}" name="URL" dataDxfId="21"/>
    <tableColumn id="11" xr3:uid="{59E2DE82-C8B4-4A42-87E4-805120F75DED}" name="KiCAD Assinged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DA6C1D-3E6A-45D5-B253-73D956697A60}" name="Table2" displayName="Table2" ref="A1:K51" totalsRowShown="0" headerRowDxfId="19" headerRowBorderDxfId="18" tableBorderDxfId="17" totalsRowBorderDxfId="16">
  <autoFilter ref="A1:K51" xr:uid="{7FDA6C1D-3E6A-45D5-B253-73D956697A60}"/>
  <tableColumns count="11">
    <tableColumn id="1" xr3:uid="{0CA6AB1F-FAEE-4392-AA41-0547BB67F522}" name="Part Number" dataDxfId="15"/>
    <tableColumn id="2" xr3:uid="{D1B2FCF2-7C8E-4E17-88C3-6184D268B2E6}" name="Description" dataDxfId="14"/>
    <tableColumn id="3" xr3:uid="{6EDF6968-E12D-4739-A5C2-14BD1DDE85B1}" name="Manufacturer" dataDxfId="13"/>
    <tableColumn id="4" xr3:uid="{91D4675B-E889-479C-BCA2-FCD90F4B4311}" name="Package" dataDxfId="12"/>
    <tableColumn id="5" xr3:uid="{6306450D-9B29-4FAC-8DA3-7C18E1DB47F2}" name="Reference" dataDxfId="11"/>
    <tableColumn id="6" xr3:uid="{5BC18179-D33D-4C57-8483-D34DFDC0DDEE}" name="Qty" dataDxfId="10"/>
    <tableColumn id="7" xr3:uid="{C96A91E4-1884-430F-BAAA-56C1AF3B2686}" name="Value" dataDxfId="9"/>
    <tableColumn id="8" xr3:uid="{B245D206-F331-43D5-B166-CB455F997AAE}" name="Price(ZAR)" dataDxfId="8"/>
    <tableColumn id="9" xr3:uid="{9D5CA9D5-EE1B-41F5-992C-F9BF3DDC22A4}" name="Price Total" dataDxfId="7"/>
    <tableColumn id="10" xr3:uid="{30D14786-057F-44B2-84ED-65CB7BB0C8A4}" name="URL" dataDxfId="6"/>
    <tableColumn id="11" xr3:uid="{BE90A2EC-EC08-45A1-9554-65BAD2B399DB}" name="KiCAD Assinged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43FDF1-AF8D-4CF5-9BAB-0B9299180550}" name="Table3" displayName="Table3" ref="A1:J3" totalsRowShown="0" headerRowDxfId="4" headerRowBorderDxfId="3" tableBorderDxfId="2" totalsRowBorderDxfId="1">
  <autoFilter ref="A1:J3" xr:uid="{3143FDF1-AF8D-4CF5-9BAB-0B9299180550}"/>
  <tableColumns count="10">
    <tableColumn id="10" xr3:uid="{52B2AC55-2099-4B01-B8E2-310D7BC9F3CA}" name="Part Number"/>
    <tableColumn id="1" xr3:uid="{EF1E2C94-8173-4215-85FD-19BC84B504AC}" name="Manufacturer"/>
    <tableColumn id="2" xr3:uid="{A59928DA-1B08-4D8A-B1F9-D94932ECC821}" name="Package"/>
    <tableColumn id="3" xr3:uid="{FF073334-999B-429D-ACB4-2BD5D4FB5316}" name="Reference"/>
    <tableColumn id="4" xr3:uid="{D50370A1-2E80-49A4-9F12-6F2CDE0A332E}" name="Qty"/>
    <tableColumn id="5" xr3:uid="{6D67CFB6-FF47-42E3-B1A4-4E6054F4A756}" name="Value"/>
    <tableColumn id="6" xr3:uid="{7C0C966E-F044-4BE8-83DB-EA732D936B59}" name="Price(ZAR)"/>
    <tableColumn id="7" xr3:uid="{C41AA562-174B-48BA-8D87-177372C2764E}" name="Price Total"/>
    <tableColumn id="8" xr3:uid="{42ACB7DE-2430-4204-82CB-06F9D73B28A0}" name="URL"/>
    <tableColumn id="9" xr3:uid="{98128794-EDFF-449A-990A-CB7ACCAAEB8E}" name="KiCAD Assing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.za/en/products/detail/murata-electronics/GJ821BR71H105KA12L/6606901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digikey.co.za/en/products/detail/panasonic-industry/ECE-A1HN2R2U/227638" TargetMode="External"/><Relationship Id="rId1" Type="http://schemas.openxmlformats.org/officeDocument/2006/relationships/hyperlink" Target="https://www.digikey.co.za/en/products/detail/murata-electronics/GCJ31CC71H475KA01L/6606045" TargetMode="External"/><Relationship Id="rId6" Type="http://schemas.openxmlformats.org/officeDocument/2006/relationships/hyperlink" Target="https://www.digikey.co.za/en/products/detail/bourns-inc/PTD902-2215K-B103/24635169" TargetMode="External"/><Relationship Id="rId5" Type="http://schemas.openxmlformats.org/officeDocument/2006/relationships/hyperlink" Target="https://www.digikey.co.za/en/products/detail/diodes-incorporated/BCM846BS-7/10295097" TargetMode="External"/><Relationship Id="rId4" Type="http://schemas.openxmlformats.org/officeDocument/2006/relationships/hyperlink" Target="https://www.digikey.co.za/en/products/detail/murata-electronics/GCM32EC71H106KA03L/490399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.za/en/products/detail/murata-electronics/GJ821BR71H105KA12L/6606901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www.digikey.co.za/en/products/detail/panasonic-industry/ECE-A1HN2R2U/227638" TargetMode="External"/><Relationship Id="rId1" Type="http://schemas.openxmlformats.org/officeDocument/2006/relationships/hyperlink" Target="https://www.digikey.co.za/en/products/detail/murata-electronics/GCJ31CC71H475KA01L/6606045" TargetMode="External"/><Relationship Id="rId6" Type="http://schemas.openxmlformats.org/officeDocument/2006/relationships/hyperlink" Target="https://www.digikey.co.za/en/products/detail/bourns-inc/PTD902-2215K-B103/24635169" TargetMode="External"/><Relationship Id="rId5" Type="http://schemas.openxmlformats.org/officeDocument/2006/relationships/hyperlink" Target="https://www.digikey.co.za/en/products/detail/diodes-incorporated/BCM846BS-7/10295097" TargetMode="External"/><Relationship Id="rId4" Type="http://schemas.openxmlformats.org/officeDocument/2006/relationships/hyperlink" Target="https://www.digikey.co.za/en/products/detail/murata-electronics/GCM32EC71H106KA03L/490399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"/>
  <sheetViews>
    <sheetView topLeftCell="C65" zoomScale="160" zoomScaleNormal="160" workbookViewId="0">
      <selection activeCell="A2" sqref="A2"/>
    </sheetView>
  </sheetViews>
  <sheetFormatPr defaultColWidth="27.88671875" defaultRowHeight="14.4" x14ac:dyDescent="0.3"/>
  <cols>
    <col min="1" max="1" width="26.109375" bestFit="1" customWidth="1"/>
    <col min="2" max="2" width="63.5546875" bestFit="1" customWidth="1"/>
    <col min="3" max="3" width="27.77734375" bestFit="1" customWidth="1"/>
    <col min="4" max="4" width="66.44140625" bestFit="1" customWidth="1"/>
    <col min="5" max="5" width="53.109375" bestFit="1" customWidth="1"/>
    <col min="6" max="6" width="7.21875" bestFit="1" customWidth="1"/>
    <col min="7" max="7" width="18.88671875" bestFit="1" customWidth="1"/>
    <col min="8" max="8" width="13" bestFit="1" customWidth="1"/>
    <col min="9" max="9" width="13.109375" bestFit="1" customWidth="1"/>
    <col min="10" max="10" width="94.21875" bestFit="1" customWidth="1"/>
    <col min="11" max="11" width="17.77734375" bestFit="1" customWidth="1"/>
    <col min="12" max="12" width="14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409</v>
      </c>
      <c r="I1" s="1" t="s">
        <v>7</v>
      </c>
      <c r="J1" s="1" t="s">
        <v>8</v>
      </c>
      <c r="K1" s="1" t="s">
        <v>390</v>
      </c>
    </row>
    <row r="2" spans="1:11" x14ac:dyDescent="0.3">
      <c r="A2" s="2" t="s">
        <v>155</v>
      </c>
      <c r="B2" s="3" t="s">
        <v>156</v>
      </c>
      <c r="C2" s="3" t="s">
        <v>157</v>
      </c>
      <c r="D2" s="3" t="s">
        <v>158</v>
      </c>
      <c r="E2" s="3" t="s">
        <v>9</v>
      </c>
      <c r="F2" s="2">
        <v>10</v>
      </c>
      <c r="G2" s="2" t="s">
        <v>10</v>
      </c>
      <c r="H2" s="2">
        <v>6.34293</v>
      </c>
      <c r="I2" s="4">
        <f>IFERROR(Table1[[#This Row],[Qty]]*Table1[[#This Row],[Price(ZAR)]],0)</f>
        <v>63.429299999999998</v>
      </c>
      <c r="J2" s="5" t="s">
        <v>11</v>
      </c>
      <c r="K2" s="18"/>
    </row>
    <row r="3" spans="1:11" x14ac:dyDescent="0.3">
      <c r="A3" s="2" t="s">
        <v>159</v>
      </c>
      <c r="B3" s="3" t="s">
        <v>160</v>
      </c>
      <c r="C3" s="3" t="s">
        <v>161</v>
      </c>
      <c r="D3" s="3" t="s">
        <v>162</v>
      </c>
      <c r="E3" s="3" t="s">
        <v>12</v>
      </c>
      <c r="F3" s="2">
        <v>10</v>
      </c>
      <c r="G3" s="2" t="s">
        <v>13</v>
      </c>
      <c r="H3" s="2">
        <v>4.2777900000000004</v>
      </c>
      <c r="I3" s="4">
        <f>IFERROR(Table1[[#This Row],[Qty]]*Table1[[#This Row],[Price(ZAR)]],0)</f>
        <v>42.777900000000002</v>
      </c>
      <c r="J3" s="5" t="s">
        <v>14</v>
      </c>
      <c r="K3" s="18"/>
    </row>
    <row r="4" spans="1:11" hidden="1" x14ac:dyDescent="0.3">
      <c r="A4" s="2" t="s">
        <v>153</v>
      </c>
      <c r="B4" s="3" t="s">
        <v>163</v>
      </c>
      <c r="C4" s="3" t="s">
        <v>153</v>
      </c>
      <c r="D4" s="3" t="s">
        <v>164</v>
      </c>
      <c r="E4" s="3" t="s">
        <v>15</v>
      </c>
      <c r="F4" s="2">
        <v>4</v>
      </c>
      <c r="G4" s="2" t="s">
        <v>16</v>
      </c>
      <c r="H4" s="2">
        <v>0</v>
      </c>
      <c r="I4" s="4">
        <f>IFERROR(Table1[[#This Row],[Qty]]*Table1[[#This Row],[Price(ZAR)]],0)</f>
        <v>0</v>
      </c>
      <c r="J4" s="6" t="s">
        <v>17</v>
      </c>
      <c r="K4" s="19"/>
    </row>
    <row r="5" spans="1:11" ht="28.8" hidden="1" x14ac:dyDescent="0.3">
      <c r="A5" s="2" t="s">
        <v>153</v>
      </c>
      <c r="B5" s="3" t="s">
        <v>165</v>
      </c>
      <c r="C5" s="3" t="s">
        <v>153</v>
      </c>
      <c r="D5" s="3" t="s">
        <v>164</v>
      </c>
      <c r="E5" s="3" t="s">
        <v>18</v>
      </c>
      <c r="F5" s="2">
        <v>26</v>
      </c>
      <c r="G5" s="2" t="s">
        <v>19</v>
      </c>
      <c r="H5" s="2">
        <v>0</v>
      </c>
      <c r="I5" s="4">
        <f>IFERROR(Table1[[#This Row],[Qty]]*Table1[[#This Row],[Price(ZAR)]],0)</f>
        <v>0</v>
      </c>
      <c r="J5" s="6" t="s">
        <v>17</v>
      </c>
      <c r="K5" s="19"/>
    </row>
    <row r="6" spans="1:11" hidden="1" x14ac:dyDescent="0.3">
      <c r="A6" s="2" t="s">
        <v>153</v>
      </c>
      <c r="B6" s="3" t="s">
        <v>166</v>
      </c>
      <c r="C6" s="3" t="s">
        <v>153</v>
      </c>
      <c r="D6" s="3" t="s">
        <v>164</v>
      </c>
      <c r="E6" s="3" t="s">
        <v>20</v>
      </c>
      <c r="F6" s="2">
        <v>1</v>
      </c>
      <c r="G6" s="2" t="s">
        <v>21</v>
      </c>
      <c r="H6" s="2">
        <v>0</v>
      </c>
      <c r="I6" s="4">
        <f>IFERROR(Table1[[#This Row],[Qty]]*Table1[[#This Row],[Price(ZAR)]],0)</f>
        <v>0</v>
      </c>
      <c r="J6" s="6" t="s">
        <v>17</v>
      </c>
      <c r="K6" s="19"/>
    </row>
    <row r="7" spans="1:11" x14ac:dyDescent="0.3">
      <c r="A7" s="2" t="s">
        <v>167</v>
      </c>
      <c r="B7" s="3" t="s">
        <v>168</v>
      </c>
      <c r="C7" s="3" t="s">
        <v>157</v>
      </c>
      <c r="D7" s="3" t="s">
        <v>169</v>
      </c>
      <c r="E7" s="3" t="s">
        <v>22</v>
      </c>
      <c r="F7" s="2">
        <v>10</v>
      </c>
      <c r="G7" s="2" t="s">
        <v>23</v>
      </c>
      <c r="H7" s="2">
        <v>3.6713600000000004</v>
      </c>
      <c r="I7" s="4">
        <f>IFERROR(Table1[[#This Row],[Qty]]*Table1[[#This Row],[Price(ZAR)]],0)</f>
        <v>36.713600000000007</v>
      </c>
      <c r="J7" s="5" t="s">
        <v>24</v>
      </c>
      <c r="K7" s="18"/>
    </row>
    <row r="8" spans="1:11" x14ac:dyDescent="0.3">
      <c r="A8" s="2" t="s">
        <v>170</v>
      </c>
      <c r="B8" s="3" t="s">
        <v>171</v>
      </c>
      <c r="C8" s="3" t="s">
        <v>157</v>
      </c>
      <c r="D8" s="3" t="s">
        <v>172</v>
      </c>
      <c r="E8" s="3" t="s">
        <v>394</v>
      </c>
      <c r="F8" s="2">
        <v>10</v>
      </c>
      <c r="G8" s="2" t="s">
        <v>25</v>
      </c>
      <c r="H8" s="2">
        <v>9.3259100000000004</v>
      </c>
      <c r="I8" s="4">
        <f>IFERROR(Table1[[#This Row],[Qty]]*Table1[[#This Row],[Price(ZAR)]],0)</f>
        <v>93.259100000000004</v>
      </c>
      <c r="J8" s="5" t="s">
        <v>26</v>
      </c>
      <c r="K8" s="18"/>
    </row>
    <row r="9" spans="1:11" x14ac:dyDescent="0.3">
      <c r="A9" s="2" t="s">
        <v>173</v>
      </c>
      <c r="B9" s="3" t="s">
        <v>174</v>
      </c>
      <c r="C9" s="3" t="s">
        <v>175</v>
      </c>
      <c r="D9" s="3" t="s">
        <v>169</v>
      </c>
      <c r="E9" s="3" t="s">
        <v>27</v>
      </c>
      <c r="F9" s="2">
        <v>10</v>
      </c>
      <c r="G9" s="2" t="s">
        <v>28</v>
      </c>
      <c r="H9" s="2">
        <v>1.22925</v>
      </c>
      <c r="I9" s="4">
        <f>IFERROR(Table1[[#This Row],[Qty]]*Table1[[#This Row],[Price(ZAR)]],0)</f>
        <v>12.2925</v>
      </c>
      <c r="J9" s="6" t="s">
        <v>29</v>
      </c>
      <c r="K9" s="19"/>
    </row>
    <row r="10" spans="1:11" hidden="1" x14ac:dyDescent="0.3">
      <c r="A10" s="2" t="s">
        <v>153</v>
      </c>
      <c r="B10" s="3" t="s">
        <v>176</v>
      </c>
      <c r="C10" s="3" t="s">
        <v>153</v>
      </c>
      <c r="D10" s="3" t="s">
        <v>177</v>
      </c>
      <c r="E10" s="3" t="s">
        <v>30</v>
      </c>
      <c r="F10" s="2">
        <v>8</v>
      </c>
      <c r="G10" s="2" t="s">
        <v>31</v>
      </c>
      <c r="H10" s="2">
        <v>0</v>
      </c>
      <c r="I10" s="4">
        <f>IFERROR(Table1[[#This Row],[Qty]]*Table1[[#This Row],[Price(ZAR)]],0)</f>
        <v>0</v>
      </c>
      <c r="J10" s="6" t="s">
        <v>17</v>
      </c>
      <c r="K10" s="14"/>
    </row>
    <row r="11" spans="1:11" x14ac:dyDescent="0.3">
      <c r="A11" s="2" t="s">
        <v>178</v>
      </c>
      <c r="B11" s="3" t="s">
        <v>179</v>
      </c>
      <c r="C11" s="3" t="s">
        <v>175</v>
      </c>
      <c r="D11" s="3" t="s">
        <v>169</v>
      </c>
      <c r="E11" s="3" t="s">
        <v>32</v>
      </c>
      <c r="F11" s="2">
        <v>10</v>
      </c>
      <c r="G11" s="2" t="s">
        <v>33</v>
      </c>
      <c r="H11" s="2">
        <v>3.0649299999999999</v>
      </c>
      <c r="I11" s="4">
        <f>IFERROR(Table1[[#This Row],[Qty]]*Table1[[#This Row],[Price(ZAR)]],0)</f>
        <v>30.6493</v>
      </c>
      <c r="J11" s="6" t="s">
        <v>34</v>
      </c>
      <c r="K11" s="19"/>
    </row>
    <row r="12" spans="1:11" hidden="1" x14ac:dyDescent="0.3">
      <c r="A12" s="2" t="s">
        <v>153</v>
      </c>
      <c r="B12" s="3" t="s">
        <v>180</v>
      </c>
      <c r="C12" s="3" t="s">
        <v>153</v>
      </c>
      <c r="D12" s="3" t="s">
        <v>164</v>
      </c>
      <c r="E12" s="3" t="s">
        <v>35</v>
      </c>
      <c r="F12" s="2">
        <v>1</v>
      </c>
      <c r="G12" s="2" t="s">
        <v>36</v>
      </c>
      <c r="H12" s="2">
        <v>0</v>
      </c>
      <c r="I12" s="4">
        <f>IFERROR(Table1[[#This Row],[Qty]]*Table1[[#This Row],[Price(ZAR)]],0)</f>
        <v>0</v>
      </c>
      <c r="J12" s="6" t="s">
        <v>17</v>
      </c>
      <c r="K12" s="19"/>
    </row>
    <row r="13" spans="1:11" hidden="1" x14ac:dyDescent="0.3">
      <c r="A13" s="2" t="s">
        <v>153</v>
      </c>
      <c r="B13" s="3" t="s">
        <v>181</v>
      </c>
      <c r="C13" s="3" t="s">
        <v>153</v>
      </c>
      <c r="D13" s="3" t="s">
        <v>164</v>
      </c>
      <c r="E13" s="3" t="s">
        <v>37</v>
      </c>
      <c r="F13" s="2">
        <v>2</v>
      </c>
      <c r="G13" s="2" t="s">
        <v>38</v>
      </c>
      <c r="H13" s="2">
        <v>0</v>
      </c>
      <c r="I13" s="4">
        <f>IFERROR(Table1[[#This Row],[Qty]]*Table1[[#This Row],[Price(ZAR)]],0)</f>
        <v>0</v>
      </c>
      <c r="J13" s="6" t="s">
        <v>17</v>
      </c>
      <c r="K13" s="19"/>
    </row>
    <row r="14" spans="1:11" hidden="1" x14ac:dyDescent="0.3">
      <c r="A14" s="2" t="s">
        <v>153</v>
      </c>
      <c r="B14" s="3" t="s">
        <v>182</v>
      </c>
      <c r="C14" s="3" t="s">
        <v>153</v>
      </c>
      <c r="D14" s="3" t="s">
        <v>177</v>
      </c>
      <c r="E14" s="3" t="s">
        <v>39</v>
      </c>
      <c r="F14" s="2">
        <v>1</v>
      </c>
      <c r="G14" s="2" t="s">
        <v>40</v>
      </c>
      <c r="H14" s="2">
        <v>0</v>
      </c>
      <c r="I14" s="4">
        <f>IFERROR(Table1[[#This Row],[Qty]]*Table1[[#This Row],[Price(ZAR)]],0)</f>
        <v>0</v>
      </c>
      <c r="J14" s="6" t="s">
        <v>17</v>
      </c>
      <c r="K14" s="14"/>
    </row>
    <row r="15" spans="1:11" x14ac:dyDescent="0.3">
      <c r="A15" s="2" t="s">
        <v>183</v>
      </c>
      <c r="B15" s="3" t="s">
        <v>184</v>
      </c>
      <c r="C15" s="3" t="s">
        <v>157</v>
      </c>
      <c r="D15" s="3" t="s">
        <v>172</v>
      </c>
      <c r="E15" s="3" t="s">
        <v>395</v>
      </c>
      <c r="F15" s="2">
        <v>10</v>
      </c>
      <c r="G15" s="2" t="s">
        <v>41</v>
      </c>
      <c r="H15" s="2">
        <v>7.8180300000000003</v>
      </c>
      <c r="I15" s="4">
        <f>IFERROR(Table1[[#This Row],[Qty]]*Table1[[#This Row],[Price(ZAR)]],0)</f>
        <v>78.180300000000003</v>
      </c>
      <c r="J15" s="6" t="s">
        <v>42</v>
      </c>
      <c r="K15" s="19"/>
    </row>
    <row r="16" spans="1:11" hidden="1" x14ac:dyDescent="0.3">
      <c r="A16" s="2" t="s">
        <v>44</v>
      </c>
      <c r="B16" s="3" t="s">
        <v>185</v>
      </c>
      <c r="C16" s="3" t="s">
        <v>153</v>
      </c>
      <c r="D16" s="3" t="s">
        <v>186</v>
      </c>
      <c r="E16" s="3" t="s">
        <v>43</v>
      </c>
      <c r="F16" s="2">
        <v>4</v>
      </c>
      <c r="G16" s="2" t="s">
        <v>44</v>
      </c>
      <c r="H16" s="2">
        <v>0</v>
      </c>
      <c r="I16" s="4">
        <f>IFERROR(Table1[[#This Row],[Qty]]*Table1[[#This Row],[Price(ZAR)]],0)</f>
        <v>0</v>
      </c>
      <c r="J16" s="6" t="s">
        <v>45</v>
      </c>
      <c r="K16" s="19"/>
    </row>
    <row r="17" spans="1:11" x14ac:dyDescent="0.3">
      <c r="A17" s="2" t="s">
        <v>187</v>
      </c>
      <c r="B17" s="3" t="s">
        <v>188</v>
      </c>
      <c r="C17" s="3" t="s">
        <v>189</v>
      </c>
      <c r="D17" s="3" t="s">
        <v>190</v>
      </c>
      <c r="E17" s="3" t="s">
        <v>46</v>
      </c>
      <c r="F17" s="2">
        <v>5</v>
      </c>
      <c r="G17" s="2" t="s">
        <v>47</v>
      </c>
      <c r="H17" s="2">
        <v>32.255520000000004</v>
      </c>
      <c r="I17" s="4">
        <f>IFERROR(Table1[[#This Row],[Qty]]*Table1[[#This Row],[Price(ZAR)]],0)</f>
        <v>161.27760000000001</v>
      </c>
      <c r="J17" s="6" t="s">
        <v>48</v>
      </c>
      <c r="K17" s="14"/>
    </row>
    <row r="18" spans="1:11" x14ac:dyDescent="0.3">
      <c r="A18" s="2" t="s">
        <v>191</v>
      </c>
      <c r="B18" s="3" t="s">
        <v>192</v>
      </c>
      <c r="C18" s="3" t="s">
        <v>193</v>
      </c>
      <c r="D18" s="3" t="s">
        <v>194</v>
      </c>
      <c r="E18" s="3" t="s">
        <v>49</v>
      </c>
      <c r="F18" s="2">
        <v>1</v>
      </c>
      <c r="G18" s="2" t="s">
        <v>50</v>
      </c>
      <c r="H18" s="2">
        <v>30.321500000000004</v>
      </c>
      <c r="I18" s="4">
        <f>IFERROR(Table1[[#This Row],[Qty]]*Table1[[#This Row],[Price(ZAR)]],0)</f>
        <v>30.321500000000004</v>
      </c>
      <c r="J18" s="6" t="s">
        <v>51</v>
      </c>
      <c r="K18" s="19"/>
    </row>
    <row r="19" spans="1:11" ht="28.8" x14ac:dyDescent="0.3">
      <c r="A19" s="2" t="s">
        <v>195</v>
      </c>
      <c r="B19" s="3" t="s">
        <v>196</v>
      </c>
      <c r="C19" s="3" t="s">
        <v>197</v>
      </c>
      <c r="D19" s="3" t="s">
        <v>198</v>
      </c>
      <c r="E19" s="3" t="s">
        <v>52</v>
      </c>
      <c r="F19" s="2">
        <v>1</v>
      </c>
      <c r="G19" s="2" t="s">
        <v>53</v>
      </c>
      <c r="H19" s="2">
        <v>54.742600000000003</v>
      </c>
      <c r="I19" s="4">
        <f>IFERROR(Table1[[#This Row],[Qty]]*Table1[[#This Row],[Price(ZAR)]],0)</f>
        <v>54.742600000000003</v>
      </c>
      <c r="J19" s="6" t="s">
        <v>54</v>
      </c>
      <c r="K19" s="19"/>
    </row>
    <row r="20" spans="1:11" x14ac:dyDescent="0.3">
      <c r="A20" s="2" t="s">
        <v>199</v>
      </c>
      <c r="B20" s="3" t="s">
        <v>200</v>
      </c>
      <c r="C20" s="3" t="s">
        <v>201</v>
      </c>
      <c r="D20" s="3" t="s">
        <v>202</v>
      </c>
      <c r="E20" s="3" t="s">
        <v>55</v>
      </c>
      <c r="F20" s="2">
        <v>1</v>
      </c>
      <c r="G20" s="2" t="s">
        <v>56</v>
      </c>
      <c r="H20" s="2">
        <v>1.9668000000000001</v>
      </c>
      <c r="I20" s="4">
        <f>IFERROR(Table1[[#This Row],[Qty]]*Table1[[#This Row],[Price(ZAR)]],0)</f>
        <v>1.9668000000000001</v>
      </c>
      <c r="J20" s="6" t="s">
        <v>57</v>
      </c>
      <c r="K20" s="14"/>
    </row>
    <row r="21" spans="1:11" x14ac:dyDescent="0.3">
      <c r="A21" s="2" t="s">
        <v>203</v>
      </c>
      <c r="B21" s="3" t="s">
        <v>204</v>
      </c>
      <c r="C21" s="3" t="s">
        <v>205</v>
      </c>
      <c r="D21" s="3" t="s">
        <v>206</v>
      </c>
      <c r="E21" s="3" t="s">
        <v>58</v>
      </c>
      <c r="F21" s="2">
        <v>1</v>
      </c>
      <c r="G21" s="2" t="s">
        <v>59</v>
      </c>
      <c r="H21" s="2">
        <v>4.9169999999999998</v>
      </c>
      <c r="I21" s="4">
        <f>IFERROR(Table1[[#This Row],[Qty]]*Table1[[#This Row],[Price(ZAR)]],0)</f>
        <v>4.9169999999999998</v>
      </c>
      <c r="J21" s="6" t="s">
        <v>60</v>
      </c>
      <c r="K21" s="14"/>
    </row>
    <row r="22" spans="1:11" x14ac:dyDescent="0.3">
      <c r="A22" s="2" t="s">
        <v>207</v>
      </c>
      <c r="B22" s="3" t="s">
        <v>208</v>
      </c>
      <c r="C22" s="3" t="s">
        <v>209</v>
      </c>
      <c r="D22" s="3" t="s">
        <v>210</v>
      </c>
      <c r="E22" s="3" t="s">
        <v>61</v>
      </c>
      <c r="F22" s="2">
        <v>1</v>
      </c>
      <c r="G22" s="2" t="s">
        <v>62</v>
      </c>
      <c r="H22" s="2">
        <v>23.929400000000001</v>
      </c>
      <c r="I22" s="4">
        <f>IFERROR(Table1[[#This Row],[Qty]]*Table1[[#This Row],[Price(ZAR)]],0)</f>
        <v>23.929400000000001</v>
      </c>
      <c r="J22" s="6" t="s">
        <v>63</v>
      </c>
      <c r="K22" s="14"/>
    </row>
    <row r="23" spans="1:11" x14ac:dyDescent="0.3">
      <c r="A23" s="2" t="s">
        <v>211</v>
      </c>
      <c r="B23" s="3" t="s">
        <v>212</v>
      </c>
      <c r="C23" s="3" t="s">
        <v>205</v>
      </c>
      <c r="D23" s="3" t="s">
        <v>213</v>
      </c>
      <c r="E23" s="3" t="s">
        <v>64</v>
      </c>
      <c r="F23" s="2">
        <v>1</v>
      </c>
      <c r="G23" s="2" t="s">
        <v>65</v>
      </c>
      <c r="H23" s="2">
        <v>1.8029000000000002</v>
      </c>
      <c r="I23" s="4">
        <f>IFERROR(Table1[[#This Row],[Qty]]*Table1[[#This Row],[Price(ZAR)]],0)</f>
        <v>1.8029000000000002</v>
      </c>
      <c r="J23" s="6" t="s">
        <v>66</v>
      </c>
      <c r="K23" s="14"/>
    </row>
    <row r="24" spans="1:11" x14ac:dyDescent="0.3">
      <c r="A24" s="2" t="s">
        <v>214</v>
      </c>
      <c r="B24" s="3" t="s">
        <v>215</v>
      </c>
      <c r="C24" s="3" t="s">
        <v>205</v>
      </c>
      <c r="D24" s="3" t="s">
        <v>216</v>
      </c>
      <c r="E24" s="3" t="s">
        <v>67</v>
      </c>
      <c r="F24" s="2">
        <v>1</v>
      </c>
      <c r="G24" s="2" t="s">
        <v>68</v>
      </c>
      <c r="H24" s="2">
        <v>3.9336000000000002</v>
      </c>
      <c r="I24" s="4">
        <f>IFERROR(Table1[[#This Row],[Qty]]*Table1[[#This Row],[Price(ZAR)]],0)</f>
        <v>3.9336000000000002</v>
      </c>
      <c r="J24" s="6" t="s">
        <v>69</v>
      </c>
      <c r="K24" s="14"/>
    </row>
    <row r="25" spans="1:11" ht="28.8" x14ac:dyDescent="0.3">
      <c r="A25" s="2" t="s">
        <v>195</v>
      </c>
      <c r="B25" s="3" t="s">
        <v>196</v>
      </c>
      <c r="C25" s="3" t="s">
        <v>197</v>
      </c>
      <c r="D25" s="3" t="s">
        <v>198</v>
      </c>
      <c r="E25" s="3" t="s">
        <v>70</v>
      </c>
      <c r="F25" s="2">
        <v>1</v>
      </c>
      <c r="G25" s="2" t="s">
        <v>71</v>
      </c>
      <c r="H25" s="2">
        <v>54.742600000000003</v>
      </c>
      <c r="I25" s="4">
        <f>IFERROR(Table1[[#This Row],[Qty]]*Table1[[#This Row],[Price(ZAR)]],0)</f>
        <v>54.742600000000003</v>
      </c>
      <c r="J25" s="6" t="s">
        <v>54</v>
      </c>
      <c r="K25" s="14"/>
    </row>
    <row r="26" spans="1:11" ht="28.8" x14ac:dyDescent="0.3">
      <c r="A26" s="2" t="s">
        <v>195</v>
      </c>
      <c r="B26" s="3" t="s">
        <v>196</v>
      </c>
      <c r="C26" s="3" t="s">
        <v>197</v>
      </c>
      <c r="D26" s="3" t="s">
        <v>198</v>
      </c>
      <c r="E26" s="3" t="s">
        <v>72</v>
      </c>
      <c r="F26" s="2">
        <v>1</v>
      </c>
      <c r="G26" s="2" t="s">
        <v>73</v>
      </c>
      <c r="H26" s="2">
        <v>54.742600000000003</v>
      </c>
      <c r="I26" s="4">
        <f>IFERROR(Table1[[#This Row],[Qty]]*Table1[[#This Row],[Price(ZAR)]],0)</f>
        <v>54.742600000000003</v>
      </c>
      <c r="J26" s="6" t="s">
        <v>54</v>
      </c>
      <c r="K26" s="14"/>
    </row>
    <row r="27" spans="1:11" x14ac:dyDescent="0.3">
      <c r="A27" s="2" t="s">
        <v>217</v>
      </c>
      <c r="B27" s="3" t="s">
        <v>218</v>
      </c>
      <c r="C27" s="3" t="s">
        <v>205</v>
      </c>
      <c r="D27" s="3" t="s">
        <v>219</v>
      </c>
      <c r="E27" s="3" t="s">
        <v>74</v>
      </c>
      <c r="F27" s="2">
        <v>1</v>
      </c>
      <c r="G27" s="2" t="s">
        <v>75</v>
      </c>
      <c r="H27" s="2">
        <v>2.6224000000000003</v>
      </c>
      <c r="I27" s="4">
        <f>IFERROR(Table1[[#This Row],[Qty]]*Table1[[#This Row],[Price(ZAR)]],0)</f>
        <v>2.6224000000000003</v>
      </c>
      <c r="J27" s="6" t="s">
        <v>76</v>
      </c>
      <c r="K27" s="14"/>
    </row>
    <row r="28" spans="1:11" x14ac:dyDescent="0.3">
      <c r="A28" s="2" t="s">
        <v>217</v>
      </c>
      <c r="B28" s="3" t="s">
        <v>218</v>
      </c>
      <c r="C28" s="3" t="s">
        <v>205</v>
      </c>
      <c r="D28" s="3" t="s">
        <v>219</v>
      </c>
      <c r="E28" s="3" t="s">
        <v>77</v>
      </c>
      <c r="F28" s="2">
        <v>1</v>
      </c>
      <c r="G28" s="2" t="s">
        <v>78</v>
      </c>
      <c r="H28" s="2">
        <v>2.6224000000000003</v>
      </c>
      <c r="I28" s="4">
        <f>IFERROR(Table1[[#This Row],[Qty]]*Table1[[#This Row],[Price(ZAR)]],0)</f>
        <v>2.6224000000000003</v>
      </c>
      <c r="J28" s="6" t="s">
        <v>76</v>
      </c>
      <c r="K28" s="14"/>
    </row>
    <row r="29" spans="1:11" ht="28.8" x14ac:dyDescent="0.3">
      <c r="A29" s="2" t="s">
        <v>220</v>
      </c>
      <c r="B29" s="3" t="s">
        <v>221</v>
      </c>
      <c r="C29" s="3" t="s">
        <v>197</v>
      </c>
      <c r="D29" s="3" t="s">
        <v>222</v>
      </c>
      <c r="E29" s="3" t="s">
        <v>79</v>
      </c>
      <c r="F29" s="2">
        <v>1</v>
      </c>
      <c r="G29" s="2" t="s">
        <v>80</v>
      </c>
      <c r="H29" s="2">
        <v>0</v>
      </c>
      <c r="I29" s="4">
        <f>IFERROR(Table1[[#This Row],[Qty]]*Table1[[#This Row],[Price(ZAR)]],0)</f>
        <v>0</v>
      </c>
      <c r="J29" s="6" t="s">
        <v>81</v>
      </c>
      <c r="K29" s="14"/>
    </row>
    <row r="30" spans="1:11" x14ac:dyDescent="0.3">
      <c r="A30" s="2" t="s">
        <v>224</v>
      </c>
      <c r="B30" s="3" t="s">
        <v>225</v>
      </c>
      <c r="C30" s="3" t="s">
        <v>226</v>
      </c>
      <c r="D30" s="3" t="s">
        <v>227</v>
      </c>
      <c r="E30" s="3" t="s">
        <v>396</v>
      </c>
      <c r="F30" s="2">
        <v>1</v>
      </c>
      <c r="G30" s="2" t="s">
        <v>25</v>
      </c>
      <c r="H30" s="2">
        <v>17.537300000000002</v>
      </c>
      <c r="I30" s="4">
        <f>IFERROR(Table1[[#This Row],[Qty]]*Table1[[#This Row],[Price(ZAR)]],0)</f>
        <v>17.537300000000002</v>
      </c>
      <c r="J30" s="6" t="s">
        <v>82</v>
      </c>
      <c r="K30" s="14"/>
    </row>
    <row r="31" spans="1:11" hidden="1" x14ac:dyDescent="0.3">
      <c r="A31" s="2" t="s">
        <v>84</v>
      </c>
      <c r="B31" s="3" t="s">
        <v>228</v>
      </c>
      <c r="C31" s="3" t="s">
        <v>153</v>
      </c>
      <c r="D31" s="3" t="s">
        <v>229</v>
      </c>
      <c r="E31" s="3" t="s">
        <v>83</v>
      </c>
      <c r="F31" s="2">
        <v>8</v>
      </c>
      <c r="G31" s="2" t="s">
        <v>84</v>
      </c>
      <c r="H31" s="2">
        <v>0</v>
      </c>
      <c r="I31" s="4">
        <f>IFERROR(Table1[[#This Row],[Qty]]*Table1[[#This Row],[Price(ZAR)]],0)</f>
        <v>0</v>
      </c>
      <c r="J31" s="6" t="s">
        <v>45</v>
      </c>
      <c r="K31" s="19"/>
    </row>
    <row r="32" spans="1:11" x14ac:dyDescent="0.3">
      <c r="A32" s="2" t="s">
        <v>86</v>
      </c>
      <c r="B32" s="3" t="s">
        <v>230</v>
      </c>
      <c r="C32" s="3" t="s">
        <v>231</v>
      </c>
      <c r="D32" s="3" t="s">
        <v>232</v>
      </c>
      <c r="E32" s="3" t="s">
        <v>85</v>
      </c>
      <c r="F32" s="2">
        <v>10</v>
      </c>
      <c r="G32" s="2" t="s">
        <v>86</v>
      </c>
      <c r="H32" s="2">
        <v>2.4748899999999998</v>
      </c>
      <c r="I32" s="4">
        <f>IFERROR(Table1[[#This Row],[Qty]]*Table1[[#This Row],[Price(ZAR)]],0)</f>
        <v>24.748899999999999</v>
      </c>
      <c r="J32" s="5" t="s">
        <v>87</v>
      </c>
      <c r="K32" s="19"/>
    </row>
    <row r="33" spans="1:11" x14ac:dyDescent="0.3">
      <c r="A33" s="2" t="s">
        <v>89</v>
      </c>
      <c r="B33" s="3" t="s">
        <v>233</v>
      </c>
      <c r="C33" s="3" t="s">
        <v>234</v>
      </c>
      <c r="D33" s="3" t="s">
        <v>235</v>
      </c>
      <c r="E33" s="3" t="s">
        <v>88</v>
      </c>
      <c r="F33" s="2">
        <v>8</v>
      </c>
      <c r="G33" s="2" t="s">
        <v>89</v>
      </c>
      <c r="H33" s="2">
        <v>29.665900000000001</v>
      </c>
      <c r="I33" s="4">
        <f>IFERROR(Table1[[#This Row],[Qty]]*Table1[[#This Row],[Price(ZAR)]],0)</f>
        <v>237.3272</v>
      </c>
      <c r="J33" s="6" t="s">
        <v>90</v>
      </c>
      <c r="K33" s="19"/>
    </row>
    <row r="34" spans="1:11" x14ac:dyDescent="0.3">
      <c r="A34" s="2" t="s">
        <v>236</v>
      </c>
      <c r="B34" s="3" t="s">
        <v>237</v>
      </c>
      <c r="C34" s="3" t="s">
        <v>234</v>
      </c>
      <c r="D34" s="3" t="s">
        <v>238</v>
      </c>
      <c r="E34" s="3" t="s">
        <v>91</v>
      </c>
      <c r="F34" s="2">
        <v>4</v>
      </c>
      <c r="G34" s="2" t="s">
        <v>92</v>
      </c>
      <c r="H34" s="2">
        <v>63.757100000000001</v>
      </c>
      <c r="I34" s="4">
        <f>IFERROR(Table1[[#This Row],[Qty]]*Table1[[#This Row],[Price(ZAR)]],0)</f>
        <v>255.0284</v>
      </c>
      <c r="J34" s="6" t="s">
        <v>93</v>
      </c>
      <c r="K34" s="19"/>
    </row>
    <row r="35" spans="1:11" x14ac:dyDescent="0.3">
      <c r="A35" s="2" t="s">
        <v>95</v>
      </c>
      <c r="B35" s="3" t="s">
        <v>239</v>
      </c>
      <c r="C35" s="3" t="s">
        <v>234</v>
      </c>
      <c r="D35" s="3" t="s">
        <v>235</v>
      </c>
      <c r="E35" s="3" t="s">
        <v>94</v>
      </c>
      <c r="F35" s="2">
        <v>4</v>
      </c>
      <c r="G35" s="2" t="s">
        <v>95</v>
      </c>
      <c r="H35" s="2">
        <v>28.026900000000001</v>
      </c>
      <c r="I35" s="4">
        <f>IFERROR(Table1[[#This Row],[Qty]]*Table1[[#This Row],[Price(ZAR)]],0)</f>
        <v>112.10760000000001</v>
      </c>
      <c r="J35" s="6" t="s">
        <v>96</v>
      </c>
      <c r="K35" s="19"/>
    </row>
    <row r="36" spans="1:11" x14ac:dyDescent="0.3">
      <c r="A36" s="2" t="s">
        <v>240</v>
      </c>
      <c r="B36" s="3" t="s">
        <v>241</v>
      </c>
      <c r="C36" s="3" t="s">
        <v>234</v>
      </c>
      <c r="D36" s="3" t="s">
        <v>238</v>
      </c>
      <c r="E36" s="3" t="s">
        <v>97</v>
      </c>
      <c r="F36" s="2">
        <v>4</v>
      </c>
      <c r="G36" s="2" t="s">
        <v>98</v>
      </c>
      <c r="H36" s="2">
        <v>60.970800000000004</v>
      </c>
      <c r="I36" s="4">
        <f>IFERROR(Table1[[#This Row],[Qty]]*Table1[[#This Row],[Price(ZAR)]],0)</f>
        <v>243.88320000000002</v>
      </c>
      <c r="J36" s="6" t="s">
        <v>99</v>
      </c>
      <c r="K36" s="19"/>
    </row>
    <row r="37" spans="1:11" hidden="1" x14ac:dyDescent="0.3">
      <c r="A37" s="2" t="s">
        <v>403</v>
      </c>
      <c r="B37" s="3" t="s">
        <v>404</v>
      </c>
      <c r="C37" s="3" t="s">
        <v>153</v>
      </c>
      <c r="D37" s="3"/>
      <c r="E37" s="3" t="s">
        <v>405</v>
      </c>
      <c r="F37" s="2">
        <v>1</v>
      </c>
      <c r="G37" s="2" t="s">
        <v>403</v>
      </c>
      <c r="H37" s="2">
        <v>0</v>
      </c>
      <c r="I37" s="4">
        <f>IFERROR(Table1[[#This Row],[Qty]]*Table1[[#This Row],[Price(ZAR)]],0)</f>
        <v>0</v>
      </c>
      <c r="J37" s="6" t="s">
        <v>17</v>
      </c>
      <c r="K37" s="13"/>
    </row>
    <row r="38" spans="1:11" hidden="1" x14ac:dyDescent="0.3">
      <c r="A38" s="2" t="s">
        <v>101</v>
      </c>
      <c r="B38" s="3" t="s">
        <v>242</v>
      </c>
      <c r="C38" s="3" t="s">
        <v>153</v>
      </c>
      <c r="D38" s="3" t="s">
        <v>229</v>
      </c>
      <c r="E38" s="3" t="s">
        <v>100</v>
      </c>
      <c r="F38" s="2">
        <v>1</v>
      </c>
      <c r="G38" s="2" t="s">
        <v>101</v>
      </c>
      <c r="H38" s="2">
        <v>0</v>
      </c>
      <c r="I38" s="4">
        <f>IFERROR(Table1[[#This Row],[Qty]]*Table1[[#This Row],[Price(ZAR)]],0)</f>
        <v>0</v>
      </c>
      <c r="J38" s="6" t="s">
        <v>17</v>
      </c>
      <c r="K38" s="19"/>
    </row>
    <row r="39" spans="1:11" ht="28.8" hidden="1" x14ac:dyDescent="0.3">
      <c r="A39" s="2" t="s">
        <v>153</v>
      </c>
      <c r="B39" s="3" t="s">
        <v>402</v>
      </c>
      <c r="C39" s="3" t="s">
        <v>153</v>
      </c>
      <c r="D39" s="3" t="s">
        <v>244</v>
      </c>
      <c r="E39" s="7">
        <v>53</v>
      </c>
      <c r="F39" s="2">
        <v>1</v>
      </c>
      <c r="G39" s="2">
        <v>100</v>
      </c>
      <c r="H39" s="2">
        <v>0</v>
      </c>
      <c r="I39" s="4">
        <f>IFERROR(Table1[[#This Row],[Qty]]*Table1[[#This Row],[Price(ZAR)]],0)</f>
        <v>0</v>
      </c>
      <c r="J39" s="6" t="s">
        <v>17</v>
      </c>
      <c r="K39" s="14"/>
    </row>
    <row r="40" spans="1:11" ht="28.8" hidden="1" x14ac:dyDescent="0.3">
      <c r="A40" s="2" t="s">
        <v>153</v>
      </c>
      <c r="B40" s="3" t="s">
        <v>243</v>
      </c>
      <c r="C40" s="3" t="s">
        <v>153</v>
      </c>
      <c r="D40" s="3" t="s">
        <v>244</v>
      </c>
      <c r="E40" s="3" t="s">
        <v>102</v>
      </c>
      <c r="F40" s="2">
        <v>8</v>
      </c>
      <c r="G40" s="2" t="s">
        <v>103</v>
      </c>
      <c r="H40" s="2">
        <v>0</v>
      </c>
      <c r="I40" s="4">
        <f>IFERROR(Table1[[#This Row],[Qty]]*Table1[[#This Row],[Price(ZAR)]],0)</f>
        <v>0</v>
      </c>
      <c r="J40" s="6" t="s">
        <v>17</v>
      </c>
      <c r="K40" s="19"/>
    </row>
    <row r="41" spans="1:11" ht="28.8" hidden="1" x14ac:dyDescent="0.3">
      <c r="A41" s="2" t="s">
        <v>153</v>
      </c>
      <c r="B41" s="15" t="s">
        <v>406</v>
      </c>
      <c r="C41" s="3" t="s">
        <v>153</v>
      </c>
      <c r="D41" s="3" t="s">
        <v>244</v>
      </c>
      <c r="E41" s="7">
        <v>54</v>
      </c>
      <c r="F41" s="2">
        <v>1</v>
      </c>
      <c r="G41" s="16" t="s">
        <v>407</v>
      </c>
      <c r="H41" s="16">
        <v>0</v>
      </c>
      <c r="I41" s="4">
        <f>IFERROR(Table1[[#This Row],[Qty]]*Table1[[#This Row],[Price(ZAR)]],0)</f>
        <v>0</v>
      </c>
      <c r="J41" s="6" t="s">
        <v>17</v>
      </c>
      <c r="K41" s="14"/>
    </row>
    <row r="42" spans="1:11" ht="28.8" hidden="1" x14ac:dyDescent="0.3">
      <c r="A42" s="2" t="s">
        <v>153</v>
      </c>
      <c r="B42" s="3" t="s">
        <v>245</v>
      </c>
      <c r="C42" s="3" t="s">
        <v>153</v>
      </c>
      <c r="D42" s="3" t="s">
        <v>244</v>
      </c>
      <c r="E42" s="3" t="s">
        <v>104</v>
      </c>
      <c r="F42" s="2">
        <v>4</v>
      </c>
      <c r="G42" s="2">
        <v>470</v>
      </c>
      <c r="H42" s="2">
        <v>0</v>
      </c>
      <c r="I42" s="4">
        <f>IFERROR(Table1[[#This Row],[Qty]]*Table1[[#This Row],[Price(ZAR)]],0)</f>
        <v>0</v>
      </c>
      <c r="J42" s="6" t="s">
        <v>17</v>
      </c>
      <c r="K42" s="19"/>
    </row>
    <row r="43" spans="1:11" ht="28.8" hidden="1" x14ac:dyDescent="0.3">
      <c r="A43" s="2" t="s">
        <v>153</v>
      </c>
      <c r="B43" s="3" t="s">
        <v>246</v>
      </c>
      <c r="C43" s="3" t="s">
        <v>153</v>
      </c>
      <c r="D43" s="3" t="s">
        <v>244</v>
      </c>
      <c r="E43" s="3" t="s">
        <v>105</v>
      </c>
      <c r="F43" s="2">
        <v>5</v>
      </c>
      <c r="G43" s="2" t="s">
        <v>106</v>
      </c>
      <c r="H43" s="2">
        <v>0</v>
      </c>
      <c r="I43" s="4">
        <f>IFERROR(Table1[[#This Row],[Qty]]*Table1[[#This Row],[Price(ZAR)]],0)</f>
        <v>0</v>
      </c>
      <c r="J43" s="6" t="s">
        <v>17</v>
      </c>
      <c r="K43" s="19"/>
    </row>
    <row r="44" spans="1:11" ht="28.8" hidden="1" x14ac:dyDescent="0.3">
      <c r="A44" s="2" t="s">
        <v>153</v>
      </c>
      <c r="B44" s="3" t="s">
        <v>247</v>
      </c>
      <c r="C44" s="3" t="s">
        <v>153</v>
      </c>
      <c r="D44" s="3" t="s">
        <v>244</v>
      </c>
      <c r="E44" s="15" t="s">
        <v>408</v>
      </c>
      <c r="F44" s="2">
        <v>7</v>
      </c>
      <c r="G44" s="2" t="s">
        <v>107</v>
      </c>
      <c r="H44" s="2">
        <v>0</v>
      </c>
      <c r="I44" s="4">
        <f>IFERROR(Table1[[#This Row],[Qty]]*Table1[[#This Row],[Price(ZAR)]],0)</f>
        <v>0</v>
      </c>
      <c r="J44" s="6" t="s">
        <v>17</v>
      </c>
      <c r="K44" s="19"/>
    </row>
    <row r="45" spans="1:11" ht="28.8" hidden="1" x14ac:dyDescent="0.3">
      <c r="A45" s="2" t="s">
        <v>153</v>
      </c>
      <c r="B45" s="3" t="s">
        <v>248</v>
      </c>
      <c r="C45" s="3" t="s">
        <v>153</v>
      </c>
      <c r="D45" s="3" t="s">
        <v>244</v>
      </c>
      <c r="E45" s="3" t="s">
        <v>108</v>
      </c>
      <c r="F45" s="2">
        <v>2</v>
      </c>
      <c r="G45" s="2" t="s">
        <v>109</v>
      </c>
      <c r="H45" s="2">
        <v>0</v>
      </c>
      <c r="I45" s="4">
        <f>IFERROR(Table1[[#This Row],[Qty]]*Table1[[#This Row],[Price(ZAR)]],0)</f>
        <v>0</v>
      </c>
      <c r="J45" s="6" t="s">
        <v>17</v>
      </c>
      <c r="K45" s="19"/>
    </row>
    <row r="46" spans="1:11" ht="28.8" hidden="1" x14ac:dyDescent="0.3">
      <c r="A46" s="2" t="s">
        <v>153</v>
      </c>
      <c r="B46" s="3" t="s">
        <v>249</v>
      </c>
      <c r="C46" s="3" t="s">
        <v>153</v>
      </c>
      <c r="D46" s="3" t="s">
        <v>244</v>
      </c>
      <c r="E46" s="3" t="s">
        <v>401</v>
      </c>
      <c r="F46" s="2">
        <v>2</v>
      </c>
      <c r="G46" s="2">
        <v>220</v>
      </c>
      <c r="H46" s="2">
        <v>0</v>
      </c>
      <c r="I46" s="4">
        <f>IFERROR(Table1[[#This Row],[Qty]]*Table1[[#This Row],[Price(ZAR)]],0)</f>
        <v>0</v>
      </c>
      <c r="J46" s="6" t="s">
        <v>17</v>
      </c>
      <c r="K46" s="19"/>
    </row>
    <row r="47" spans="1:11" ht="28.8" hidden="1" x14ac:dyDescent="0.3">
      <c r="A47" s="2" t="s">
        <v>153</v>
      </c>
      <c r="B47" s="3" t="s">
        <v>250</v>
      </c>
      <c r="C47" s="3" t="s">
        <v>153</v>
      </c>
      <c r="D47" s="3" t="s">
        <v>244</v>
      </c>
      <c r="E47" s="3" t="s">
        <v>110</v>
      </c>
      <c r="F47" s="2">
        <v>6</v>
      </c>
      <c r="G47" s="2" t="s">
        <v>111</v>
      </c>
      <c r="H47" s="2">
        <v>0</v>
      </c>
      <c r="I47" s="4">
        <f>IFERROR(Table1[[#This Row],[Qty]]*Table1[[#This Row],[Price(ZAR)]],0)</f>
        <v>0</v>
      </c>
      <c r="J47" s="6" t="s">
        <v>17</v>
      </c>
      <c r="K47" s="19"/>
    </row>
    <row r="48" spans="1:11" ht="28.8" hidden="1" x14ac:dyDescent="0.3">
      <c r="A48" s="2" t="s">
        <v>153</v>
      </c>
      <c r="B48" s="3" t="s">
        <v>251</v>
      </c>
      <c r="C48" s="3" t="s">
        <v>153</v>
      </c>
      <c r="D48" s="3" t="s">
        <v>244</v>
      </c>
      <c r="E48" s="3" t="s">
        <v>112</v>
      </c>
      <c r="F48" s="2">
        <v>4</v>
      </c>
      <c r="G48" s="2" t="s">
        <v>113</v>
      </c>
      <c r="H48" s="2">
        <v>0</v>
      </c>
      <c r="I48" s="4">
        <f>IFERROR(Table1[[#This Row],[Qty]]*Table1[[#This Row],[Price(ZAR)]],0)</f>
        <v>0</v>
      </c>
      <c r="J48" s="6" t="s">
        <v>17</v>
      </c>
      <c r="K48" s="19"/>
    </row>
    <row r="49" spans="1:11" ht="28.8" hidden="1" x14ac:dyDescent="0.3">
      <c r="A49" s="2" t="s">
        <v>153</v>
      </c>
      <c r="B49" s="3" t="s">
        <v>252</v>
      </c>
      <c r="C49" s="3" t="s">
        <v>153</v>
      </c>
      <c r="D49" s="3" t="s">
        <v>244</v>
      </c>
      <c r="E49" s="3" t="s">
        <v>114</v>
      </c>
      <c r="F49" s="2">
        <v>2</v>
      </c>
      <c r="G49" s="2" t="s">
        <v>115</v>
      </c>
      <c r="H49" s="2">
        <v>0</v>
      </c>
      <c r="I49" s="4">
        <f>IFERROR(Table1[[#This Row],[Qty]]*Table1[[#This Row],[Price(ZAR)]],0)</f>
        <v>0</v>
      </c>
      <c r="J49" s="6" t="s">
        <v>17</v>
      </c>
      <c r="K49" s="19"/>
    </row>
    <row r="50" spans="1:11" ht="28.8" hidden="1" x14ac:dyDescent="0.3">
      <c r="A50" s="2" t="s">
        <v>153</v>
      </c>
      <c r="B50" s="3" t="s">
        <v>253</v>
      </c>
      <c r="C50" s="3" t="s">
        <v>153</v>
      </c>
      <c r="D50" s="3" t="s">
        <v>244</v>
      </c>
      <c r="E50" s="3" t="s">
        <v>116</v>
      </c>
      <c r="F50" s="2">
        <v>2</v>
      </c>
      <c r="G50" s="2" t="s">
        <v>117</v>
      </c>
      <c r="H50" s="2">
        <v>0</v>
      </c>
      <c r="I50" s="4">
        <f>IFERROR(Table1[[#This Row],[Qty]]*Table1[[#This Row],[Price(ZAR)]],0)</f>
        <v>0</v>
      </c>
      <c r="J50" s="6" t="s">
        <v>17</v>
      </c>
      <c r="K50" s="19"/>
    </row>
    <row r="51" spans="1:11" ht="28.8" hidden="1" x14ac:dyDescent="0.3">
      <c r="A51" s="2" t="s">
        <v>153</v>
      </c>
      <c r="B51" s="3" t="s">
        <v>254</v>
      </c>
      <c r="C51" s="3" t="s">
        <v>153</v>
      </c>
      <c r="D51" s="3" t="s">
        <v>244</v>
      </c>
      <c r="E51" s="3" t="s">
        <v>118</v>
      </c>
      <c r="F51" s="2">
        <v>2</v>
      </c>
      <c r="G51" s="2">
        <v>560</v>
      </c>
      <c r="H51" s="2">
        <v>0</v>
      </c>
      <c r="I51" s="4">
        <f>IFERROR(Table1[[#This Row],[Qty]]*Table1[[#This Row],[Price(ZAR)]],0)</f>
        <v>0</v>
      </c>
      <c r="J51" s="6" t="s">
        <v>17</v>
      </c>
      <c r="K51" s="19"/>
    </row>
    <row r="52" spans="1:11" ht="28.8" hidden="1" x14ac:dyDescent="0.3">
      <c r="A52" s="2" t="s">
        <v>153</v>
      </c>
      <c r="B52" s="3" t="s">
        <v>255</v>
      </c>
      <c r="C52" s="3" t="s">
        <v>153</v>
      </c>
      <c r="D52" s="3" t="s">
        <v>244</v>
      </c>
      <c r="E52" s="3" t="s">
        <v>119</v>
      </c>
      <c r="F52" s="2">
        <v>4</v>
      </c>
      <c r="G52" s="2">
        <v>270</v>
      </c>
      <c r="H52" s="2">
        <v>0</v>
      </c>
      <c r="I52" s="4">
        <f>IFERROR(Table1[[#This Row],[Qty]]*Table1[[#This Row],[Price(ZAR)]],0)</f>
        <v>0</v>
      </c>
      <c r="J52" s="6" t="s">
        <v>17</v>
      </c>
      <c r="K52" s="19"/>
    </row>
    <row r="53" spans="1:11" x14ac:dyDescent="0.3">
      <c r="A53" s="2" t="s">
        <v>256</v>
      </c>
      <c r="B53" s="3" t="s">
        <v>257</v>
      </c>
      <c r="C53" s="3" t="s">
        <v>258</v>
      </c>
      <c r="D53" s="3" t="s">
        <v>259</v>
      </c>
      <c r="E53" s="3" t="s">
        <v>120</v>
      </c>
      <c r="F53" s="2">
        <v>10</v>
      </c>
      <c r="G53" s="2">
        <v>0.33</v>
      </c>
      <c r="H53" s="2">
        <v>7.1460400000000002</v>
      </c>
      <c r="I53" s="4">
        <f>IFERROR(Table1[[#This Row],[Qty]]*Table1[[#This Row],[Price(ZAR)]],0)</f>
        <v>71.460400000000007</v>
      </c>
      <c r="J53" s="6" t="s">
        <v>121</v>
      </c>
      <c r="K53" s="19"/>
    </row>
    <row r="54" spans="1:11" x14ac:dyDescent="0.3">
      <c r="A54" s="2" t="s">
        <v>260</v>
      </c>
      <c r="B54" s="3" t="s">
        <v>261</v>
      </c>
      <c r="C54" s="3" t="s">
        <v>262</v>
      </c>
      <c r="D54" s="3" t="s">
        <v>263</v>
      </c>
      <c r="E54" s="3" t="s">
        <v>122</v>
      </c>
      <c r="F54" s="2">
        <v>10</v>
      </c>
      <c r="G54" s="2">
        <v>10</v>
      </c>
      <c r="H54" s="2">
        <v>3.0157600000000002</v>
      </c>
      <c r="I54" s="4">
        <f>IFERROR(Table1[[#This Row],[Qty]]*Table1[[#This Row],[Price(ZAR)]],0)</f>
        <v>30.157600000000002</v>
      </c>
      <c r="J54" s="6" t="s">
        <v>123</v>
      </c>
      <c r="K54" s="19"/>
    </row>
    <row r="55" spans="1:11" ht="28.8" hidden="1" x14ac:dyDescent="0.3">
      <c r="A55" s="2" t="s">
        <v>153</v>
      </c>
      <c r="B55" s="3" t="s">
        <v>264</v>
      </c>
      <c r="C55" s="3" t="s">
        <v>153</v>
      </c>
      <c r="D55" s="3" t="s">
        <v>244</v>
      </c>
      <c r="E55" s="7">
        <v>47</v>
      </c>
      <c r="F55" s="2">
        <v>1</v>
      </c>
      <c r="G55" s="2" t="s">
        <v>124</v>
      </c>
      <c r="H55" s="2">
        <v>0</v>
      </c>
      <c r="I55" s="4">
        <f>IFERROR(Table1[[#This Row],[Qty]]*Table1[[#This Row],[Price(ZAR)]],0)</f>
        <v>0</v>
      </c>
      <c r="J55" s="6" t="s">
        <v>17</v>
      </c>
      <c r="K55" s="19"/>
    </row>
    <row r="56" spans="1:11" x14ac:dyDescent="0.3">
      <c r="A56" s="2" t="s">
        <v>265</v>
      </c>
      <c r="B56" s="3" t="s">
        <v>266</v>
      </c>
      <c r="C56" s="3" t="s">
        <v>258</v>
      </c>
      <c r="D56" s="3" t="s">
        <v>267</v>
      </c>
      <c r="E56" s="3" t="s">
        <v>397</v>
      </c>
      <c r="F56" s="2">
        <v>10</v>
      </c>
      <c r="G56" s="2" t="s">
        <v>125</v>
      </c>
      <c r="H56" s="2">
        <v>1.3112000000000001</v>
      </c>
      <c r="I56" s="4">
        <f>IFERROR(Table1[[#This Row],[Qty]]*Table1[[#This Row],[Price(ZAR)]],0)</f>
        <v>13.112000000000002</v>
      </c>
      <c r="J56" s="6" t="s">
        <v>126</v>
      </c>
      <c r="K56" s="19"/>
    </row>
    <row r="57" spans="1:11" x14ac:dyDescent="0.3">
      <c r="A57" s="2" t="s">
        <v>268</v>
      </c>
      <c r="B57" s="3" t="s">
        <v>269</v>
      </c>
      <c r="C57" s="3" t="s">
        <v>270</v>
      </c>
      <c r="D57" s="3" t="s">
        <v>271</v>
      </c>
      <c r="E57" s="3" t="s">
        <v>127</v>
      </c>
      <c r="F57" s="2">
        <v>1</v>
      </c>
      <c r="G57" s="2" t="s">
        <v>128</v>
      </c>
      <c r="H57" s="2">
        <v>5.7364999999999995</v>
      </c>
      <c r="I57" s="4">
        <f>IFERROR(Table1[[#This Row],[Qty]]*Table1[[#This Row],[Price(ZAR)]],0)</f>
        <v>5.7364999999999995</v>
      </c>
      <c r="J57" s="6" t="s">
        <v>129</v>
      </c>
      <c r="K57" s="19"/>
    </row>
    <row r="58" spans="1:11" hidden="1" x14ac:dyDescent="0.3">
      <c r="A58" s="2" t="s">
        <v>131</v>
      </c>
      <c r="B58" s="3" t="s">
        <v>272</v>
      </c>
      <c r="C58" s="3" t="s">
        <v>153</v>
      </c>
      <c r="D58" s="3" t="s">
        <v>273</v>
      </c>
      <c r="E58" s="3" t="s">
        <v>130</v>
      </c>
      <c r="F58" s="2">
        <v>6</v>
      </c>
      <c r="G58" s="2" t="s">
        <v>131</v>
      </c>
      <c r="H58" s="2">
        <v>0</v>
      </c>
      <c r="I58" s="4">
        <f>IFERROR(Table1[[#This Row],[Qty]]*Table1[[#This Row],[Price(ZAR)]],0)</f>
        <v>0</v>
      </c>
      <c r="J58" s="6" t="s">
        <v>17</v>
      </c>
      <c r="K58" s="19"/>
    </row>
    <row r="59" spans="1:11" x14ac:dyDescent="0.3">
      <c r="A59" s="2" t="s">
        <v>133</v>
      </c>
      <c r="B59" s="3" t="s">
        <v>274</v>
      </c>
      <c r="C59" s="3" t="s">
        <v>275</v>
      </c>
      <c r="D59" s="3" t="s">
        <v>276</v>
      </c>
      <c r="E59" s="3" t="s">
        <v>132</v>
      </c>
      <c r="F59" s="2">
        <v>2</v>
      </c>
      <c r="G59" s="2" t="s">
        <v>133</v>
      </c>
      <c r="H59" s="2">
        <v>53.431399999999996</v>
      </c>
      <c r="I59" s="4">
        <f>IFERROR(Table1[[#This Row],[Qty]]*Table1[[#This Row],[Price(ZAR)]],0)</f>
        <v>106.86279999999999</v>
      </c>
      <c r="J59" s="6" t="s">
        <v>134</v>
      </c>
      <c r="K59" s="19"/>
    </row>
    <row r="60" spans="1:11" x14ac:dyDescent="0.3">
      <c r="A60" s="2" t="s">
        <v>136</v>
      </c>
      <c r="B60" s="3" t="s">
        <v>277</v>
      </c>
      <c r="C60" s="3" t="s">
        <v>275</v>
      </c>
      <c r="D60" s="3" t="s">
        <v>278</v>
      </c>
      <c r="E60" s="3" t="s">
        <v>135</v>
      </c>
      <c r="F60" s="2">
        <v>1</v>
      </c>
      <c r="G60" s="2" t="s">
        <v>136</v>
      </c>
      <c r="H60" s="2">
        <v>6.8837999999999999</v>
      </c>
      <c r="I60" s="4">
        <f>IFERROR(Table1[[#This Row],[Qty]]*Table1[[#This Row],[Price(ZAR)]],0)</f>
        <v>6.8837999999999999</v>
      </c>
      <c r="J60" s="6" t="s">
        <v>137</v>
      </c>
      <c r="K60" s="19"/>
    </row>
    <row r="61" spans="1:11" x14ac:dyDescent="0.3">
      <c r="A61" s="2" t="s">
        <v>279</v>
      </c>
      <c r="B61" s="3" t="s">
        <v>280</v>
      </c>
      <c r="C61" s="3" t="s">
        <v>234</v>
      </c>
      <c r="D61" s="3" t="s">
        <v>281</v>
      </c>
      <c r="E61" s="3" t="s">
        <v>138</v>
      </c>
      <c r="F61" s="2">
        <v>1</v>
      </c>
      <c r="G61" s="2" t="s">
        <v>139</v>
      </c>
      <c r="H61" s="2">
        <v>17.0456</v>
      </c>
      <c r="I61" s="4">
        <f>IFERROR(Table1[[#This Row],[Qty]]*Table1[[#This Row],[Price(ZAR)]],0)</f>
        <v>17.0456</v>
      </c>
      <c r="J61" s="6" t="s">
        <v>140</v>
      </c>
      <c r="K61" s="19"/>
    </row>
    <row r="62" spans="1:11" x14ac:dyDescent="0.3">
      <c r="A62" s="2" t="s">
        <v>282</v>
      </c>
      <c r="B62" s="3" t="s">
        <v>283</v>
      </c>
      <c r="C62" s="3" t="s">
        <v>275</v>
      </c>
      <c r="D62" s="3" t="s">
        <v>281</v>
      </c>
      <c r="E62" s="3" t="s">
        <v>141</v>
      </c>
      <c r="F62" s="2">
        <v>1</v>
      </c>
      <c r="G62" s="2" t="s">
        <v>142</v>
      </c>
      <c r="H62" s="2">
        <v>37.041399999999996</v>
      </c>
      <c r="I62" s="4">
        <f>IFERROR(Table1[[#This Row],[Qty]]*Table1[[#This Row],[Price(ZAR)]],0)</f>
        <v>37.041399999999996</v>
      </c>
      <c r="J62" s="6" t="s">
        <v>143</v>
      </c>
      <c r="K62" s="19"/>
    </row>
    <row r="63" spans="1:11" x14ac:dyDescent="0.3">
      <c r="A63" s="2" t="s">
        <v>284</v>
      </c>
      <c r="B63" s="3" t="s">
        <v>285</v>
      </c>
      <c r="C63" s="3" t="s">
        <v>234</v>
      </c>
      <c r="D63" s="3" t="s">
        <v>286</v>
      </c>
      <c r="E63" s="3" t="s">
        <v>144</v>
      </c>
      <c r="F63" s="2">
        <v>1</v>
      </c>
      <c r="G63" s="2" t="s">
        <v>145</v>
      </c>
      <c r="H63" s="2">
        <v>39.499900000000004</v>
      </c>
      <c r="I63" s="4">
        <f>IFERROR(Table1[[#This Row],[Qty]]*Table1[[#This Row],[Price(ZAR)]],0)</f>
        <v>39.499900000000004</v>
      </c>
      <c r="J63" s="6" t="s">
        <v>146</v>
      </c>
      <c r="K63" s="19"/>
    </row>
    <row r="64" spans="1:11" x14ac:dyDescent="0.3">
      <c r="A64" s="2" t="s">
        <v>287</v>
      </c>
      <c r="B64" s="3" t="s">
        <v>288</v>
      </c>
      <c r="C64" s="3" t="s">
        <v>226</v>
      </c>
      <c r="D64" s="3" t="s">
        <v>223</v>
      </c>
      <c r="E64" s="3" t="s">
        <v>147</v>
      </c>
      <c r="F64" s="2">
        <v>3</v>
      </c>
      <c r="G64" s="2" t="s">
        <v>103</v>
      </c>
      <c r="H64" s="2">
        <v>39.335999999999999</v>
      </c>
      <c r="I64" s="4">
        <f>IFERROR(Table1[[#This Row],[Qty]]*Table1[[#This Row],[Price(ZAR)]],0)</f>
        <v>118.008</v>
      </c>
      <c r="J64" s="5" t="s">
        <v>148</v>
      </c>
      <c r="K64" s="14"/>
    </row>
    <row r="65" spans="1:11" x14ac:dyDescent="0.3">
      <c r="A65" s="2" t="s">
        <v>289</v>
      </c>
      <c r="B65" s="3" t="s">
        <v>290</v>
      </c>
      <c r="C65" s="3" t="s">
        <v>226</v>
      </c>
      <c r="D65" s="3" t="s">
        <v>223</v>
      </c>
      <c r="E65" s="3" t="s">
        <v>149</v>
      </c>
      <c r="F65" s="2">
        <v>1</v>
      </c>
      <c r="G65" s="2" t="s">
        <v>103</v>
      </c>
      <c r="H65" s="2">
        <v>39.335999999999999</v>
      </c>
      <c r="I65" s="4">
        <f>IFERROR(Table1[[#This Row],[Qty]]*Table1[[#This Row],[Price(ZAR)]],0)</f>
        <v>39.335999999999999</v>
      </c>
      <c r="J65" s="6" t="s">
        <v>150</v>
      </c>
      <c r="K65" s="14"/>
    </row>
    <row r="66" spans="1:11" x14ac:dyDescent="0.3">
      <c r="A66" s="2" t="s">
        <v>291</v>
      </c>
      <c r="B66" s="3" t="s">
        <v>292</v>
      </c>
      <c r="C66" s="3" t="s">
        <v>226</v>
      </c>
      <c r="D66" s="3" t="s">
        <v>293</v>
      </c>
      <c r="E66" s="3" t="s">
        <v>151</v>
      </c>
      <c r="F66" s="2">
        <v>2</v>
      </c>
      <c r="G66" s="2" t="s">
        <v>111</v>
      </c>
      <c r="H66" s="2">
        <v>39.991599999999998</v>
      </c>
      <c r="I66" s="4">
        <f>IFERROR(Table1[[#This Row],[Qty]]*Table1[[#This Row],[Price(ZAR)]],0)</f>
        <v>79.983199999999997</v>
      </c>
      <c r="J66" s="6" t="s">
        <v>152</v>
      </c>
      <c r="K66" s="19"/>
    </row>
    <row r="67" spans="1:11" hidden="1" x14ac:dyDescent="0.3">
      <c r="A67" s="2" t="s">
        <v>391</v>
      </c>
      <c r="B67" s="3" t="s">
        <v>294</v>
      </c>
      <c r="C67" s="3" t="s">
        <v>392</v>
      </c>
      <c r="D67" s="3" t="s">
        <v>295</v>
      </c>
      <c r="E67" s="3" t="s">
        <v>153</v>
      </c>
      <c r="F67" s="2">
        <v>1</v>
      </c>
      <c r="G67" s="2" t="s">
        <v>153</v>
      </c>
      <c r="H67" s="2">
        <v>101.78190000000001</v>
      </c>
      <c r="I67" s="4">
        <f>IFERROR(Table1[[#This Row],[Qty]]*Table1[[#This Row],[Price(ZAR)]],0)</f>
        <v>101.78190000000001</v>
      </c>
      <c r="J67" s="6" t="s">
        <v>393</v>
      </c>
      <c r="K67" s="14"/>
    </row>
    <row r="68" spans="1:11" ht="24" hidden="1" customHeight="1" x14ac:dyDescent="0.3">
      <c r="A68" s="2" t="s">
        <v>391</v>
      </c>
      <c r="B68" s="3" t="s">
        <v>296</v>
      </c>
      <c r="C68" s="3" t="s">
        <v>392</v>
      </c>
      <c r="D68" s="3" t="s">
        <v>297</v>
      </c>
      <c r="E68" s="3" t="s">
        <v>153</v>
      </c>
      <c r="F68" s="2">
        <v>1</v>
      </c>
      <c r="G68" s="2" t="s">
        <v>153</v>
      </c>
      <c r="H68" s="2">
        <v>0</v>
      </c>
      <c r="I68" s="4">
        <f>IFERROR(Table1[[#This Row],[Qty]]*Table1[[#This Row],[Price(ZAR)]],0)</f>
        <v>0</v>
      </c>
      <c r="J68" s="6" t="s">
        <v>393</v>
      </c>
      <c r="K68" s="14"/>
    </row>
    <row r="69" spans="1:11" hidden="1" x14ac:dyDescent="0.3">
      <c r="A69" s="2" t="s">
        <v>400</v>
      </c>
      <c r="B69" s="3" t="s">
        <v>399</v>
      </c>
      <c r="C69" s="3" t="s">
        <v>392</v>
      </c>
      <c r="D69" s="3" t="s">
        <v>298</v>
      </c>
      <c r="E69" s="3" t="s">
        <v>153</v>
      </c>
      <c r="F69" s="2">
        <v>4</v>
      </c>
      <c r="G69" s="2" t="s">
        <v>153</v>
      </c>
      <c r="H69" s="2">
        <v>74.082799999999992</v>
      </c>
      <c r="I69" s="4">
        <f>IFERROR(Table1[[#This Row],[Qty]]*Table1[[#This Row],[Price(ZAR)]],0)</f>
        <v>296.33119999999997</v>
      </c>
      <c r="J69" s="6" t="s">
        <v>398</v>
      </c>
      <c r="K69" s="14"/>
    </row>
    <row r="70" spans="1:11" hidden="1" x14ac:dyDescent="0.3">
      <c r="A70" s="2" t="s">
        <v>154</v>
      </c>
      <c r="B70" s="3" t="s">
        <v>299</v>
      </c>
      <c r="C70" s="3" t="s">
        <v>275</v>
      </c>
      <c r="D70" s="3" t="s">
        <v>300</v>
      </c>
      <c r="E70" s="3" t="s">
        <v>154</v>
      </c>
      <c r="F70" s="2">
        <v>1</v>
      </c>
      <c r="G70" s="2"/>
      <c r="H70" s="2">
        <v>0</v>
      </c>
      <c r="I70" s="4">
        <f>IFERROR(Table1[[#This Row],[Qty]]*Table1[[#This Row],[Price(ZAR)]],0)</f>
        <v>0</v>
      </c>
      <c r="J70" s="6" t="s">
        <v>17</v>
      </c>
      <c r="K70" s="14"/>
    </row>
    <row r="71" spans="1:11" hidden="1" x14ac:dyDescent="0.3">
      <c r="A71" s="8" t="s">
        <v>301</v>
      </c>
      <c r="B71" s="9" t="s">
        <v>302</v>
      </c>
      <c r="C71" s="9"/>
      <c r="D71" s="9"/>
      <c r="E71" s="9" t="s">
        <v>303</v>
      </c>
      <c r="F71" s="8"/>
      <c r="G71" s="8"/>
      <c r="H71" s="8">
        <v>0</v>
      </c>
      <c r="I71" s="10">
        <f>IFERROR(Table1[[#This Row],[Qty]]*Table1[[#This Row],[Price(ZAR)]],0)</f>
        <v>0</v>
      </c>
      <c r="J71" s="11"/>
      <c r="K71" s="17"/>
    </row>
    <row r="72" spans="1:11" x14ac:dyDescent="0.3">
      <c r="A72" s="12" t="str">
        <f>"0031.8201"</f>
        <v>0031.8201</v>
      </c>
      <c r="B72" s="3" t="s">
        <v>304</v>
      </c>
      <c r="C72" s="3" t="s">
        <v>305</v>
      </c>
      <c r="D72" s="3" t="s">
        <v>306</v>
      </c>
      <c r="E72" s="3" t="s">
        <v>307</v>
      </c>
      <c r="F72" s="2">
        <v>4</v>
      </c>
      <c r="G72" s="2" t="s">
        <v>308</v>
      </c>
      <c r="H72" s="2">
        <v>22.290400000000002</v>
      </c>
      <c r="I72" s="4">
        <f>IFERROR(Table1[[#This Row],[Qty]]*Table1[[#This Row],[Price(ZAR)]],0)</f>
        <v>89.161600000000007</v>
      </c>
      <c r="J72" s="6" t="s">
        <v>309</v>
      </c>
      <c r="K72" s="14"/>
    </row>
    <row r="73" spans="1:11" x14ac:dyDescent="0.3">
      <c r="A73" s="12" t="s">
        <v>310</v>
      </c>
      <c r="B73" s="3" t="s">
        <v>311</v>
      </c>
      <c r="C73" s="3" t="s">
        <v>197</v>
      </c>
      <c r="D73" s="3" t="s">
        <v>312</v>
      </c>
      <c r="E73" s="3" t="s">
        <v>313</v>
      </c>
      <c r="F73" s="2">
        <v>3</v>
      </c>
      <c r="G73" s="2" t="s">
        <v>314</v>
      </c>
      <c r="H73" s="2">
        <v>22.7821</v>
      </c>
      <c r="I73" s="4">
        <f>IFERROR(Table1[[#This Row],[Qty]]*Table1[[#This Row],[Price(ZAR)]],0)</f>
        <v>68.346299999999999</v>
      </c>
      <c r="J73" s="6" t="s">
        <v>387</v>
      </c>
      <c r="K73" s="14"/>
    </row>
    <row r="74" spans="1:11" x14ac:dyDescent="0.3">
      <c r="A74" s="12" t="s">
        <v>315</v>
      </c>
      <c r="B74" s="3" t="s">
        <v>316</v>
      </c>
      <c r="C74" s="3" t="s">
        <v>197</v>
      </c>
      <c r="D74" s="3" t="s">
        <v>312</v>
      </c>
      <c r="E74" s="3" t="s">
        <v>317</v>
      </c>
      <c r="F74" s="2">
        <v>1</v>
      </c>
      <c r="G74" s="2" t="s">
        <v>318</v>
      </c>
      <c r="H74" s="2">
        <v>29.665900000000001</v>
      </c>
      <c r="I74" s="4">
        <f>IFERROR(Table1[[#This Row],[Qty]]*Table1[[#This Row],[Price(ZAR)]],0)</f>
        <v>29.665900000000001</v>
      </c>
      <c r="J74" s="6" t="s">
        <v>319</v>
      </c>
      <c r="K74" s="14"/>
    </row>
    <row r="75" spans="1:11" x14ac:dyDescent="0.3">
      <c r="A75" s="12" t="s">
        <v>320</v>
      </c>
      <c r="B75" s="3" t="s">
        <v>321</v>
      </c>
      <c r="C75" s="3" t="s">
        <v>201</v>
      </c>
      <c r="D75" s="3" t="s">
        <v>322</v>
      </c>
      <c r="E75" s="3" t="s">
        <v>323</v>
      </c>
      <c r="F75" s="2">
        <v>1</v>
      </c>
      <c r="G75" s="2" t="s">
        <v>324</v>
      </c>
      <c r="H75" s="2">
        <v>1.6390000000000002</v>
      </c>
      <c r="I75" s="4">
        <f>IFERROR(Table1[[#This Row],[Qty]]*Table1[[#This Row],[Price(ZAR)]],0)</f>
        <v>1.6390000000000002</v>
      </c>
      <c r="J75" s="6" t="s">
        <v>325</v>
      </c>
      <c r="K75" s="14"/>
    </row>
    <row r="76" spans="1:11" x14ac:dyDescent="0.3">
      <c r="A76" s="12" t="s">
        <v>326</v>
      </c>
      <c r="B76" s="3" t="s">
        <v>327</v>
      </c>
      <c r="C76" s="3" t="s">
        <v>201</v>
      </c>
      <c r="D76" s="3" t="s">
        <v>328</v>
      </c>
      <c r="E76" s="3" t="s">
        <v>329</v>
      </c>
      <c r="F76" s="2">
        <v>4</v>
      </c>
      <c r="G76" s="2" t="s">
        <v>330</v>
      </c>
      <c r="H76" s="2">
        <v>1.6390000000000002</v>
      </c>
      <c r="I76" s="4">
        <f>IFERROR(Table1[[#This Row],[Qty]]*Table1[[#This Row],[Price(ZAR)]],0)</f>
        <v>6.5560000000000009</v>
      </c>
      <c r="J76" s="6" t="s">
        <v>331</v>
      </c>
      <c r="K76" s="14"/>
    </row>
    <row r="77" spans="1:11" x14ac:dyDescent="0.3">
      <c r="A77" s="12" t="s">
        <v>332</v>
      </c>
      <c r="B77" s="3" t="s">
        <v>333</v>
      </c>
      <c r="C77" s="3" t="s">
        <v>205</v>
      </c>
      <c r="D77" s="3" t="s">
        <v>322</v>
      </c>
      <c r="E77" s="3" t="s">
        <v>334</v>
      </c>
      <c r="F77" s="2">
        <v>1</v>
      </c>
      <c r="G77" s="2" t="s">
        <v>335</v>
      </c>
      <c r="H77" s="2">
        <v>1.8029000000000002</v>
      </c>
      <c r="I77" s="4">
        <f>IFERROR(Table1[[#This Row],[Qty]]*Table1[[#This Row],[Price(ZAR)]],0)</f>
        <v>1.8029000000000002</v>
      </c>
      <c r="J77" s="6" t="s">
        <v>336</v>
      </c>
      <c r="K77" s="14"/>
    </row>
    <row r="78" spans="1:11" x14ac:dyDescent="0.3">
      <c r="A78" s="12" t="s">
        <v>337</v>
      </c>
      <c r="B78" s="3" t="s">
        <v>338</v>
      </c>
      <c r="C78" s="3" t="s">
        <v>205</v>
      </c>
      <c r="D78" s="3" t="s">
        <v>328</v>
      </c>
      <c r="E78" s="3" t="s">
        <v>339</v>
      </c>
      <c r="F78" s="2">
        <v>1</v>
      </c>
      <c r="G78" s="2" t="s">
        <v>330</v>
      </c>
      <c r="H78" s="2">
        <v>77.196899999999999</v>
      </c>
      <c r="I78" s="4">
        <f>IFERROR(Table1[[#This Row],[Qty]]*Table1[[#This Row],[Price(ZAR)]],0)</f>
        <v>77.196899999999999</v>
      </c>
      <c r="J78" s="6" t="s">
        <v>388</v>
      </c>
      <c r="K78" s="14"/>
    </row>
    <row r="79" spans="1:11" x14ac:dyDescent="0.3">
      <c r="A79" s="12" t="str">
        <f>"0430250800"</f>
        <v>0430250800</v>
      </c>
      <c r="B79" s="3" t="s">
        <v>340</v>
      </c>
      <c r="C79" s="3" t="s">
        <v>209</v>
      </c>
      <c r="D79" s="3" t="s">
        <v>322</v>
      </c>
      <c r="E79" s="3" t="s">
        <v>341</v>
      </c>
      <c r="F79" s="2">
        <v>1</v>
      </c>
      <c r="G79" s="2" t="s">
        <v>342</v>
      </c>
      <c r="H79" s="2">
        <v>9.0145000000000017</v>
      </c>
      <c r="I79" s="4">
        <f>IFERROR(Table1[[#This Row],[Qty]]*Table1[[#This Row],[Price(ZAR)]],0)</f>
        <v>9.0145000000000017</v>
      </c>
      <c r="J79" s="6" t="s">
        <v>343</v>
      </c>
      <c r="K79" s="14"/>
    </row>
    <row r="80" spans="1:11" x14ac:dyDescent="0.3">
      <c r="A80" s="12" t="s">
        <v>344</v>
      </c>
      <c r="B80" s="3" t="s">
        <v>345</v>
      </c>
      <c r="C80" s="3" t="s">
        <v>205</v>
      </c>
      <c r="D80" s="3" t="s">
        <v>322</v>
      </c>
      <c r="E80" s="3" t="s">
        <v>346</v>
      </c>
      <c r="F80" s="2">
        <v>1</v>
      </c>
      <c r="G80" s="2" t="s">
        <v>347</v>
      </c>
      <c r="H80" s="2">
        <v>1.6390000000000002</v>
      </c>
      <c r="I80" s="4">
        <f>IFERROR(Table1[[#This Row],[Qty]]*Table1[[#This Row],[Price(ZAR)]],0)</f>
        <v>1.6390000000000002</v>
      </c>
      <c r="J80" s="6" t="s">
        <v>348</v>
      </c>
      <c r="K80" s="14"/>
    </row>
    <row r="81" spans="1:11" x14ac:dyDescent="0.3">
      <c r="A81" s="12" t="s">
        <v>349</v>
      </c>
      <c r="B81" s="3" t="s">
        <v>350</v>
      </c>
      <c r="C81" s="3" t="s">
        <v>205</v>
      </c>
      <c r="D81" s="3" t="s">
        <v>322</v>
      </c>
      <c r="E81" s="3" t="s">
        <v>351</v>
      </c>
      <c r="F81" s="2">
        <v>2</v>
      </c>
      <c r="G81" s="2" t="s">
        <v>352</v>
      </c>
      <c r="H81" s="2">
        <v>1.6390000000000002</v>
      </c>
      <c r="I81" s="4">
        <f>IFERROR(Table1[[#This Row],[Qty]]*Table1[[#This Row],[Price(ZAR)]],0)</f>
        <v>3.2780000000000005</v>
      </c>
      <c r="J81" s="6" t="s">
        <v>353</v>
      </c>
      <c r="K81" s="14"/>
    </row>
    <row r="82" spans="1:11" x14ac:dyDescent="0.3">
      <c r="A82" s="12" t="s">
        <v>354</v>
      </c>
      <c r="B82" s="3" t="s">
        <v>355</v>
      </c>
      <c r="C82" s="3" t="s">
        <v>205</v>
      </c>
      <c r="D82" s="3" t="s">
        <v>322</v>
      </c>
      <c r="E82" s="3" t="s">
        <v>356</v>
      </c>
      <c r="F82" s="2">
        <v>1</v>
      </c>
      <c r="G82" s="2" t="s">
        <v>357</v>
      </c>
      <c r="H82" s="2">
        <v>1.6390000000000002</v>
      </c>
      <c r="I82" s="4">
        <f>IFERROR(Table1[[#This Row],[Qty]]*Table1[[#This Row],[Price(ZAR)]],0)</f>
        <v>1.6390000000000002</v>
      </c>
      <c r="J82" s="6" t="s">
        <v>389</v>
      </c>
      <c r="K82" s="14"/>
    </row>
    <row r="83" spans="1:11" ht="15" thickBot="1" x14ac:dyDescent="0.35">
      <c r="A83" s="12" t="s">
        <v>358</v>
      </c>
      <c r="B83" s="3" t="s">
        <v>359</v>
      </c>
      <c r="C83" s="3" t="s">
        <v>193</v>
      </c>
      <c r="D83" s="3" t="s">
        <v>312</v>
      </c>
      <c r="E83" s="3" t="s">
        <v>360</v>
      </c>
      <c r="F83" s="2">
        <v>1</v>
      </c>
      <c r="G83" s="2" t="s">
        <v>361</v>
      </c>
      <c r="H83" s="2">
        <v>52.611899999999999</v>
      </c>
      <c r="I83" s="4">
        <f>IFERROR(Table1[[#This Row],[Qty]]*Table1[[#This Row],[Price(ZAR)]],0)</f>
        <v>52.611899999999999</v>
      </c>
      <c r="J83" s="6" t="s">
        <v>362</v>
      </c>
      <c r="K83" s="14"/>
    </row>
    <row r="84" spans="1:11" hidden="1" x14ac:dyDescent="0.3">
      <c r="A84" s="12" t="s">
        <v>363</v>
      </c>
      <c r="B84" s="3" t="s">
        <v>364</v>
      </c>
      <c r="C84" s="3" t="s">
        <v>365</v>
      </c>
      <c r="D84" s="3" t="s">
        <v>366</v>
      </c>
      <c r="E84" s="3" t="s">
        <v>367</v>
      </c>
      <c r="F84" s="2">
        <v>1</v>
      </c>
      <c r="G84" s="2" t="s">
        <v>368</v>
      </c>
      <c r="H84" s="2">
        <v>0</v>
      </c>
      <c r="I84" s="4">
        <f>IFERROR(Table1[[#This Row],[Qty]]*Table1[[#This Row],[Price(ZAR)]],0)</f>
        <v>0</v>
      </c>
      <c r="J84" s="6" t="s">
        <v>17</v>
      </c>
      <c r="K84" s="14"/>
    </row>
    <row r="85" spans="1:11" hidden="1" x14ac:dyDescent="0.3">
      <c r="A85" s="12" t="s">
        <v>369</v>
      </c>
      <c r="B85" s="3" t="s">
        <v>370</v>
      </c>
      <c r="C85" s="3" t="s">
        <v>365</v>
      </c>
      <c r="D85" s="3" t="s">
        <v>371</v>
      </c>
      <c r="E85" s="3" t="s">
        <v>372</v>
      </c>
      <c r="F85" s="2">
        <v>1</v>
      </c>
      <c r="G85" s="2" t="s">
        <v>373</v>
      </c>
      <c r="H85" s="2">
        <v>0</v>
      </c>
      <c r="I85" s="4">
        <f>IFERROR(Table1[[#This Row],[Qty]]*Table1[[#This Row],[Price(ZAR)]],0)</f>
        <v>0</v>
      </c>
      <c r="J85" s="6" t="s">
        <v>17</v>
      </c>
      <c r="K85" s="14"/>
    </row>
    <row r="86" spans="1:11" ht="19.2" hidden="1" customHeight="1" x14ac:dyDescent="0.3">
      <c r="A86" s="12" t="s">
        <v>374</v>
      </c>
      <c r="B86" s="3" t="s">
        <v>375</v>
      </c>
      <c r="C86" s="3" t="s">
        <v>365</v>
      </c>
      <c r="D86" s="3" t="s">
        <v>371</v>
      </c>
      <c r="E86" s="3" t="s">
        <v>376</v>
      </c>
      <c r="F86" s="2">
        <v>1</v>
      </c>
      <c r="G86" s="2" t="s">
        <v>377</v>
      </c>
      <c r="H86" s="2">
        <v>0</v>
      </c>
      <c r="I86" s="4">
        <f>IFERROR(Table1[[#This Row],[Qty]]*Table1[[#This Row],[Price(ZAR)]],0)</f>
        <v>0</v>
      </c>
      <c r="J86" s="6" t="s">
        <v>17</v>
      </c>
      <c r="K86" s="14"/>
    </row>
    <row r="87" spans="1:11" hidden="1" x14ac:dyDescent="0.3">
      <c r="A87" s="12" t="s">
        <v>378</v>
      </c>
      <c r="B87" s="3" t="s">
        <v>379</v>
      </c>
      <c r="C87" s="3" t="s">
        <v>365</v>
      </c>
      <c r="D87" s="3" t="s">
        <v>371</v>
      </c>
      <c r="E87" s="3" t="s">
        <v>380</v>
      </c>
      <c r="F87" s="2">
        <v>1</v>
      </c>
      <c r="G87" s="2" t="s">
        <v>381</v>
      </c>
      <c r="H87" s="2">
        <v>0</v>
      </c>
      <c r="I87" s="4">
        <f>IFERROR(Table1[[#This Row],[Qty]]*Table1[[#This Row],[Price(ZAR)]],0)</f>
        <v>0</v>
      </c>
      <c r="J87" s="6" t="s">
        <v>17</v>
      </c>
      <c r="K87" s="14"/>
    </row>
    <row r="88" spans="1:11" ht="15" hidden="1" thickBot="1" x14ac:dyDescent="0.35">
      <c r="A88" s="12" t="s">
        <v>382</v>
      </c>
      <c r="B88" s="3" t="s">
        <v>383</v>
      </c>
      <c r="C88" s="3" t="s">
        <v>365</v>
      </c>
      <c r="D88" s="3" t="s">
        <v>371</v>
      </c>
      <c r="E88" s="3" t="s">
        <v>384</v>
      </c>
      <c r="F88" s="2">
        <v>1</v>
      </c>
      <c r="G88" s="2" t="s">
        <v>385</v>
      </c>
      <c r="H88" s="2">
        <v>0</v>
      </c>
      <c r="I88" s="4">
        <f>IFERROR(Table1[[#This Row],[Qty]]*Table1[[#This Row],[Price(ZAR)]],0)</f>
        <v>0</v>
      </c>
      <c r="J88" s="6" t="s">
        <v>17</v>
      </c>
      <c r="K88" s="14"/>
    </row>
    <row r="89" spans="1:11" ht="15" thickTop="1" x14ac:dyDescent="0.3">
      <c r="H89" s="20" t="s">
        <v>386</v>
      </c>
      <c r="I89" s="21">
        <f>SUM(Table1[Price Total])</f>
        <v>2951.3473000000004</v>
      </c>
    </row>
  </sheetData>
  <hyperlinks>
    <hyperlink ref="J2" r:id="rId1" xr:uid="{97150078-87F8-4B2B-9372-CE3F114DDF4D}"/>
    <hyperlink ref="J3" r:id="rId2" xr:uid="{78681749-F5BE-4324-A8E6-0D67645482D3}"/>
    <hyperlink ref="J7" r:id="rId3" xr:uid="{2277B37F-2A69-48BD-AE82-C7D122602FC7}"/>
    <hyperlink ref="J8" r:id="rId4" xr:uid="{0926218D-4DD1-42A2-9BB4-4963577E6D2E}"/>
    <hyperlink ref="J32" r:id="rId5" xr:uid="{36A85639-A54A-4B01-89DA-1F1449634758}"/>
    <hyperlink ref="J64" r:id="rId6" xr:uid="{45E44B45-55F1-4973-9516-BD367CA7AE1E}"/>
  </hyperlinks>
  <pageMargins left="0.7" right="0.7" top="0.75" bottom="0.75" header="0.3" footer="0.3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DD38B-5361-4838-AC30-A0DF344FCD3B}">
  <dimension ref="A1:K53"/>
  <sheetViews>
    <sheetView workbookViewId="0">
      <selection activeCell="I54" sqref="I54"/>
    </sheetView>
  </sheetViews>
  <sheetFormatPr defaultColWidth="23.33203125" defaultRowHeight="14.4" x14ac:dyDescent="0.3"/>
  <cols>
    <col min="1" max="1" width="20.77734375" bestFit="1" customWidth="1"/>
    <col min="2" max="2" width="23.21875" bestFit="1" customWidth="1"/>
    <col min="3" max="3" width="19.6640625" bestFit="1" customWidth="1"/>
    <col min="5" max="5" width="22.88671875" bestFit="1" customWidth="1"/>
    <col min="6" max="6" width="6.109375" bestFit="1" customWidth="1"/>
    <col min="7" max="7" width="17.21875" bestFit="1" customWidth="1"/>
    <col min="8" max="8" width="12.109375" bestFit="1" customWidth="1"/>
    <col min="9" max="9" width="12" bestFit="1" customWidth="1"/>
    <col min="10" max="10" width="90" bestFit="1" customWidth="1"/>
    <col min="11" max="11" width="16.33203125" bestFit="1" customWidth="1"/>
  </cols>
  <sheetData>
    <row r="1" spans="1:11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409</v>
      </c>
      <c r="I1" s="37" t="s">
        <v>7</v>
      </c>
      <c r="J1" s="37" t="s">
        <v>8</v>
      </c>
      <c r="K1" s="37" t="s">
        <v>390</v>
      </c>
    </row>
    <row r="2" spans="1:11" ht="28.8" x14ac:dyDescent="0.3">
      <c r="A2" s="23" t="s">
        <v>155</v>
      </c>
      <c r="B2" s="22" t="s">
        <v>156</v>
      </c>
      <c r="C2" s="22" t="s">
        <v>157</v>
      </c>
      <c r="D2" s="22" t="s">
        <v>158</v>
      </c>
      <c r="E2" s="22" t="s">
        <v>9</v>
      </c>
      <c r="F2" s="23">
        <v>10</v>
      </c>
      <c r="G2" s="23" t="s">
        <v>10</v>
      </c>
      <c r="H2" s="23">
        <v>6.34293</v>
      </c>
      <c r="I2" s="24">
        <v>63.429299999999998</v>
      </c>
      <c r="J2" s="25" t="s">
        <v>11</v>
      </c>
      <c r="K2" s="34"/>
    </row>
    <row r="3" spans="1:11" ht="43.2" x14ac:dyDescent="0.3">
      <c r="A3" s="27" t="s">
        <v>159</v>
      </c>
      <c r="B3" s="26" t="s">
        <v>160</v>
      </c>
      <c r="C3" s="26" t="s">
        <v>161</v>
      </c>
      <c r="D3" s="26" t="s">
        <v>162</v>
      </c>
      <c r="E3" s="26" t="s">
        <v>12</v>
      </c>
      <c r="F3" s="27">
        <v>10</v>
      </c>
      <c r="G3" s="27" t="s">
        <v>13</v>
      </c>
      <c r="H3" s="27">
        <v>4.2777900000000004</v>
      </c>
      <c r="I3" s="28">
        <v>42.777900000000002</v>
      </c>
      <c r="J3" s="29" t="s">
        <v>14</v>
      </c>
      <c r="K3" s="34"/>
    </row>
    <row r="4" spans="1:11" ht="28.8" x14ac:dyDescent="0.3">
      <c r="A4" s="23" t="s">
        <v>167</v>
      </c>
      <c r="B4" s="22" t="s">
        <v>168</v>
      </c>
      <c r="C4" s="22" t="s">
        <v>157</v>
      </c>
      <c r="D4" s="22" t="s">
        <v>169</v>
      </c>
      <c r="E4" s="22" t="s">
        <v>22</v>
      </c>
      <c r="F4" s="23">
        <v>10</v>
      </c>
      <c r="G4" s="23" t="s">
        <v>23</v>
      </c>
      <c r="H4" s="23">
        <v>3.6713600000000004</v>
      </c>
      <c r="I4" s="24">
        <v>36.713600000000007</v>
      </c>
      <c r="J4" s="25" t="s">
        <v>24</v>
      </c>
      <c r="K4" s="34"/>
    </row>
    <row r="5" spans="1:11" ht="28.8" x14ac:dyDescent="0.3">
      <c r="A5" s="27" t="s">
        <v>170</v>
      </c>
      <c r="B5" s="26" t="s">
        <v>171</v>
      </c>
      <c r="C5" s="26" t="s">
        <v>157</v>
      </c>
      <c r="D5" s="26" t="s">
        <v>172</v>
      </c>
      <c r="E5" s="26" t="s">
        <v>394</v>
      </c>
      <c r="F5" s="27">
        <v>10</v>
      </c>
      <c r="G5" s="27" t="s">
        <v>25</v>
      </c>
      <c r="H5" s="27">
        <v>9.3259100000000004</v>
      </c>
      <c r="I5" s="28">
        <v>93.259100000000004</v>
      </c>
      <c r="J5" s="29" t="s">
        <v>26</v>
      </c>
      <c r="K5" s="34"/>
    </row>
    <row r="6" spans="1:11" ht="28.8" x14ac:dyDescent="0.3">
      <c r="A6" s="23" t="s">
        <v>173</v>
      </c>
      <c r="B6" s="22" t="s">
        <v>174</v>
      </c>
      <c r="C6" s="22" t="s">
        <v>175</v>
      </c>
      <c r="D6" s="22" t="s">
        <v>169</v>
      </c>
      <c r="E6" s="22" t="s">
        <v>27</v>
      </c>
      <c r="F6" s="23">
        <v>10</v>
      </c>
      <c r="G6" s="23" t="s">
        <v>28</v>
      </c>
      <c r="H6" s="23">
        <v>1.22925</v>
      </c>
      <c r="I6" s="24">
        <v>12.2925</v>
      </c>
      <c r="J6" s="30" t="s">
        <v>29</v>
      </c>
      <c r="K6" s="35"/>
    </row>
    <row r="7" spans="1:11" ht="28.8" x14ac:dyDescent="0.3">
      <c r="A7" s="27" t="s">
        <v>178</v>
      </c>
      <c r="B7" s="26" t="s">
        <v>179</v>
      </c>
      <c r="C7" s="26" t="s">
        <v>175</v>
      </c>
      <c r="D7" s="26" t="s">
        <v>169</v>
      </c>
      <c r="E7" s="26" t="s">
        <v>32</v>
      </c>
      <c r="F7" s="27">
        <v>10</v>
      </c>
      <c r="G7" s="27" t="s">
        <v>33</v>
      </c>
      <c r="H7" s="27">
        <v>3.0649299999999999</v>
      </c>
      <c r="I7" s="28">
        <v>30.6493</v>
      </c>
      <c r="J7" s="31" t="s">
        <v>34</v>
      </c>
      <c r="K7" s="35"/>
    </row>
    <row r="8" spans="1:11" ht="28.8" x14ac:dyDescent="0.3">
      <c r="A8" s="23" t="s">
        <v>183</v>
      </c>
      <c r="B8" s="22" t="s">
        <v>184</v>
      </c>
      <c r="C8" s="22" t="s">
        <v>157</v>
      </c>
      <c r="D8" s="22" t="s">
        <v>172</v>
      </c>
      <c r="E8" s="22" t="s">
        <v>395</v>
      </c>
      <c r="F8" s="23">
        <v>10</v>
      </c>
      <c r="G8" s="23" t="s">
        <v>41</v>
      </c>
      <c r="H8" s="23">
        <v>7.8180300000000003</v>
      </c>
      <c r="I8" s="24">
        <v>78.180300000000003</v>
      </c>
      <c r="J8" s="30" t="s">
        <v>42</v>
      </c>
      <c r="K8" s="35"/>
    </row>
    <row r="9" spans="1:11" ht="43.2" x14ac:dyDescent="0.3">
      <c r="A9" s="27" t="s">
        <v>187</v>
      </c>
      <c r="B9" s="26" t="s">
        <v>188</v>
      </c>
      <c r="C9" s="26" t="s">
        <v>189</v>
      </c>
      <c r="D9" s="26" t="s">
        <v>190</v>
      </c>
      <c r="E9" s="26" t="s">
        <v>46</v>
      </c>
      <c r="F9" s="27">
        <v>5</v>
      </c>
      <c r="G9" s="27" t="s">
        <v>47</v>
      </c>
      <c r="H9" s="27">
        <v>32.255520000000004</v>
      </c>
      <c r="I9" s="28">
        <v>161.27760000000001</v>
      </c>
      <c r="J9" s="31" t="s">
        <v>48</v>
      </c>
      <c r="K9" s="36"/>
    </row>
    <row r="10" spans="1:11" ht="43.2" x14ac:dyDescent="0.3">
      <c r="A10" s="23" t="s">
        <v>191</v>
      </c>
      <c r="B10" s="22" t="s">
        <v>192</v>
      </c>
      <c r="C10" s="22" t="s">
        <v>193</v>
      </c>
      <c r="D10" s="22" t="s">
        <v>194</v>
      </c>
      <c r="E10" s="22" t="s">
        <v>49</v>
      </c>
      <c r="F10" s="23">
        <v>1</v>
      </c>
      <c r="G10" s="23" t="s">
        <v>50</v>
      </c>
      <c r="H10" s="23">
        <v>30.321500000000004</v>
      </c>
      <c r="I10" s="24">
        <v>30.321500000000004</v>
      </c>
      <c r="J10" s="30" t="s">
        <v>51</v>
      </c>
      <c r="K10" s="35"/>
    </row>
    <row r="11" spans="1:11" ht="72" x14ac:dyDescent="0.3">
      <c r="A11" s="27" t="s">
        <v>195</v>
      </c>
      <c r="B11" s="26" t="s">
        <v>196</v>
      </c>
      <c r="C11" s="26" t="s">
        <v>197</v>
      </c>
      <c r="D11" s="26" t="s">
        <v>198</v>
      </c>
      <c r="E11" s="26" t="s">
        <v>52</v>
      </c>
      <c r="F11" s="27">
        <v>1</v>
      </c>
      <c r="G11" s="27" t="s">
        <v>53</v>
      </c>
      <c r="H11" s="27">
        <v>54.742600000000003</v>
      </c>
      <c r="I11" s="28">
        <v>54.742600000000003</v>
      </c>
      <c r="J11" s="31" t="s">
        <v>54</v>
      </c>
      <c r="K11" s="35"/>
    </row>
    <row r="12" spans="1:11" ht="43.2" x14ac:dyDescent="0.3">
      <c r="A12" s="23" t="s">
        <v>199</v>
      </c>
      <c r="B12" s="22" t="s">
        <v>200</v>
      </c>
      <c r="C12" s="22" t="s">
        <v>201</v>
      </c>
      <c r="D12" s="22" t="s">
        <v>202</v>
      </c>
      <c r="E12" s="22" t="s">
        <v>55</v>
      </c>
      <c r="F12" s="23">
        <v>1</v>
      </c>
      <c r="G12" s="23" t="s">
        <v>56</v>
      </c>
      <c r="H12" s="23">
        <v>1.9668000000000001</v>
      </c>
      <c r="I12" s="24">
        <v>1.9668000000000001</v>
      </c>
      <c r="J12" s="30" t="s">
        <v>57</v>
      </c>
      <c r="K12" s="36"/>
    </row>
    <row r="13" spans="1:11" ht="43.2" x14ac:dyDescent="0.3">
      <c r="A13" s="27" t="s">
        <v>203</v>
      </c>
      <c r="B13" s="26" t="s">
        <v>204</v>
      </c>
      <c r="C13" s="26" t="s">
        <v>205</v>
      </c>
      <c r="D13" s="26" t="s">
        <v>206</v>
      </c>
      <c r="E13" s="26" t="s">
        <v>58</v>
      </c>
      <c r="F13" s="27">
        <v>1</v>
      </c>
      <c r="G13" s="27" t="s">
        <v>59</v>
      </c>
      <c r="H13" s="27">
        <v>4.9169999999999998</v>
      </c>
      <c r="I13" s="28">
        <v>4.9169999999999998</v>
      </c>
      <c r="J13" s="31" t="s">
        <v>60</v>
      </c>
      <c r="K13" s="36"/>
    </row>
    <row r="14" spans="1:11" ht="57.6" x14ac:dyDescent="0.3">
      <c r="A14" s="23" t="s">
        <v>207</v>
      </c>
      <c r="B14" s="22" t="s">
        <v>208</v>
      </c>
      <c r="C14" s="22" t="s">
        <v>209</v>
      </c>
      <c r="D14" s="22" t="s">
        <v>210</v>
      </c>
      <c r="E14" s="22" t="s">
        <v>61</v>
      </c>
      <c r="F14" s="23">
        <v>1</v>
      </c>
      <c r="G14" s="23" t="s">
        <v>62</v>
      </c>
      <c r="H14" s="23">
        <v>23.929400000000001</v>
      </c>
      <c r="I14" s="24">
        <v>23.929400000000001</v>
      </c>
      <c r="J14" s="30" t="s">
        <v>63</v>
      </c>
      <c r="K14" s="36"/>
    </row>
    <row r="15" spans="1:11" ht="43.2" x14ac:dyDescent="0.3">
      <c r="A15" s="27" t="s">
        <v>211</v>
      </c>
      <c r="B15" s="26" t="s">
        <v>212</v>
      </c>
      <c r="C15" s="26" t="s">
        <v>205</v>
      </c>
      <c r="D15" s="26" t="s">
        <v>213</v>
      </c>
      <c r="E15" s="26" t="s">
        <v>64</v>
      </c>
      <c r="F15" s="27">
        <v>1</v>
      </c>
      <c r="G15" s="27" t="s">
        <v>65</v>
      </c>
      <c r="H15" s="27">
        <v>1.8029000000000002</v>
      </c>
      <c r="I15" s="28">
        <v>1.8029000000000002</v>
      </c>
      <c r="J15" s="31" t="s">
        <v>66</v>
      </c>
      <c r="K15" s="36"/>
    </row>
    <row r="16" spans="1:11" ht="43.2" x14ac:dyDescent="0.3">
      <c r="A16" s="23" t="s">
        <v>214</v>
      </c>
      <c r="B16" s="22" t="s">
        <v>215</v>
      </c>
      <c r="C16" s="22" t="s">
        <v>205</v>
      </c>
      <c r="D16" s="22" t="s">
        <v>216</v>
      </c>
      <c r="E16" s="22" t="s">
        <v>67</v>
      </c>
      <c r="F16" s="23">
        <v>1</v>
      </c>
      <c r="G16" s="23" t="s">
        <v>68</v>
      </c>
      <c r="H16" s="23">
        <v>3.9336000000000002</v>
      </c>
      <c r="I16" s="24">
        <v>3.9336000000000002</v>
      </c>
      <c r="J16" s="30" t="s">
        <v>69</v>
      </c>
      <c r="K16" s="36"/>
    </row>
    <row r="17" spans="1:11" ht="72" x14ac:dyDescent="0.3">
      <c r="A17" s="27" t="s">
        <v>195</v>
      </c>
      <c r="B17" s="26" t="s">
        <v>196</v>
      </c>
      <c r="C17" s="26" t="s">
        <v>197</v>
      </c>
      <c r="D17" s="26" t="s">
        <v>198</v>
      </c>
      <c r="E17" s="26" t="s">
        <v>70</v>
      </c>
      <c r="F17" s="27">
        <v>1</v>
      </c>
      <c r="G17" s="27" t="s">
        <v>71</v>
      </c>
      <c r="H17" s="27">
        <v>54.742600000000003</v>
      </c>
      <c r="I17" s="28">
        <v>54.742600000000003</v>
      </c>
      <c r="J17" s="31" t="s">
        <v>54</v>
      </c>
      <c r="K17" s="36"/>
    </row>
    <row r="18" spans="1:11" ht="72" x14ac:dyDescent="0.3">
      <c r="A18" s="23" t="s">
        <v>195</v>
      </c>
      <c r="B18" s="22" t="s">
        <v>196</v>
      </c>
      <c r="C18" s="22" t="s">
        <v>197</v>
      </c>
      <c r="D18" s="22" t="s">
        <v>198</v>
      </c>
      <c r="E18" s="22" t="s">
        <v>72</v>
      </c>
      <c r="F18" s="23">
        <v>1</v>
      </c>
      <c r="G18" s="23" t="s">
        <v>73</v>
      </c>
      <c r="H18" s="23">
        <v>54.742600000000003</v>
      </c>
      <c r="I18" s="24">
        <v>54.742600000000003</v>
      </c>
      <c r="J18" s="30" t="s">
        <v>54</v>
      </c>
      <c r="K18" s="36"/>
    </row>
    <row r="19" spans="1:11" ht="43.2" x14ac:dyDescent="0.3">
      <c r="A19" s="27" t="s">
        <v>217</v>
      </c>
      <c r="B19" s="26" t="s">
        <v>218</v>
      </c>
      <c r="C19" s="26" t="s">
        <v>205</v>
      </c>
      <c r="D19" s="26" t="s">
        <v>219</v>
      </c>
      <c r="E19" s="26" t="s">
        <v>74</v>
      </c>
      <c r="F19" s="27">
        <v>1</v>
      </c>
      <c r="G19" s="27" t="s">
        <v>75</v>
      </c>
      <c r="H19" s="27">
        <v>2.6224000000000003</v>
      </c>
      <c r="I19" s="28">
        <v>2.6224000000000003</v>
      </c>
      <c r="J19" s="31" t="s">
        <v>76</v>
      </c>
      <c r="K19" s="36"/>
    </row>
    <row r="20" spans="1:11" ht="43.2" x14ac:dyDescent="0.3">
      <c r="A20" s="23" t="s">
        <v>217</v>
      </c>
      <c r="B20" s="22" t="s">
        <v>218</v>
      </c>
      <c r="C20" s="22" t="s">
        <v>205</v>
      </c>
      <c r="D20" s="22" t="s">
        <v>219</v>
      </c>
      <c r="E20" s="22" t="s">
        <v>77</v>
      </c>
      <c r="F20" s="23">
        <v>1</v>
      </c>
      <c r="G20" s="23" t="s">
        <v>78</v>
      </c>
      <c r="H20" s="23">
        <v>2.6224000000000003</v>
      </c>
      <c r="I20" s="24">
        <v>2.6224000000000003</v>
      </c>
      <c r="J20" s="30" t="s">
        <v>76</v>
      </c>
      <c r="K20" s="36"/>
    </row>
    <row r="21" spans="1:11" ht="72" x14ac:dyDescent="0.3">
      <c r="A21" s="27" t="s">
        <v>220</v>
      </c>
      <c r="B21" s="26" t="s">
        <v>221</v>
      </c>
      <c r="C21" s="26" t="s">
        <v>197</v>
      </c>
      <c r="D21" s="26" t="s">
        <v>222</v>
      </c>
      <c r="E21" s="26" t="s">
        <v>79</v>
      </c>
      <c r="F21" s="27">
        <v>1</v>
      </c>
      <c r="G21" s="27" t="s">
        <v>80</v>
      </c>
      <c r="H21" s="27">
        <v>0</v>
      </c>
      <c r="I21" s="28">
        <v>0</v>
      </c>
      <c r="J21" s="31" t="s">
        <v>81</v>
      </c>
      <c r="K21" s="36"/>
    </row>
    <row r="22" spans="1:11" ht="28.8" x14ac:dyDescent="0.3">
      <c r="A22" s="23" t="s">
        <v>224</v>
      </c>
      <c r="B22" s="22" t="s">
        <v>225</v>
      </c>
      <c r="C22" s="22" t="s">
        <v>226</v>
      </c>
      <c r="D22" s="22" t="s">
        <v>227</v>
      </c>
      <c r="E22" s="22" t="s">
        <v>396</v>
      </c>
      <c r="F22" s="23">
        <v>1</v>
      </c>
      <c r="G22" s="23" t="s">
        <v>25</v>
      </c>
      <c r="H22" s="23">
        <v>17.537300000000002</v>
      </c>
      <c r="I22" s="24">
        <v>17.537300000000002</v>
      </c>
      <c r="J22" s="30" t="s">
        <v>82</v>
      </c>
      <c r="K22" s="36"/>
    </row>
    <row r="23" spans="1:11" ht="28.8" x14ac:dyDescent="0.3">
      <c r="A23" s="27" t="s">
        <v>86</v>
      </c>
      <c r="B23" s="26" t="s">
        <v>230</v>
      </c>
      <c r="C23" s="26" t="s">
        <v>231</v>
      </c>
      <c r="D23" s="26" t="s">
        <v>232</v>
      </c>
      <c r="E23" s="26" t="s">
        <v>85</v>
      </c>
      <c r="F23" s="27">
        <v>10</v>
      </c>
      <c r="G23" s="27" t="s">
        <v>86</v>
      </c>
      <c r="H23" s="27">
        <v>2.4748899999999998</v>
      </c>
      <c r="I23" s="28">
        <v>24.748899999999999</v>
      </c>
      <c r="J23" s="29" t="s">
        <v>87</v>
      </c>
      <c r="K23" s="35"/>
    </row>
    <row r="24" spans="1:11" ht="28.8" x14ac:dyDescent="0.3">
      <c r="A24" s="23" t="s">
        <v>89</v>
      </c>
      <c r="B24" s="22" t="s">
        <v>233</v>
      </c>
      <c r="C24" s="22" t="s">
        <v>234</v>
      </c>
      <c r="D24" s="22" t="s">
        <v>235</v>
      </c>
      <c r="E24" s="22" t="s">
        <v>88</v>
      </c>
      <c r="F24" s="23">
        <v>8</v>
      </c>
      <c r="G24" s="23" t="s">
        <v>89</v>
      </c>
      <c r="H24" s="23">
        <v>29.665900000000001</v>
      </c>
      <c r="I24" s="24">
        <v>237.3272</v>
      </c>
      <c r="J24" s="30" t="s">
        <v>90</v>
      </c>
      <c r="K24" s="35"/>
    </row>
    <row r="25" spans="1:11" ht="28.8" x14ac:dyDescent="0.3">
      <c r="A25" s="27" t="s">
        <v>236</v>
      </c>
      <c r="B25" s="26" t="s">
        <v>237</v>
      </c>
      <c r="C25" s="26" t="s">
        <v>234</v>
      </c>
      <c r="D25" s="26" t="s">
        <v>238</v>
      </c>
      <c r="E25" s="26" t="s">
        <v>91</v>
      </c>
      <c r="F25" s="27">
        <v>4</v>
      </c>
      <c r="G25" s="27" t="s">
        <v>92</v>
      </c>
      <c r="H25" s="27">
        <v>63.757100000000001</v>
      </c>
      <c r="I25" s="28">
        <v>255.0284</v>
      </c>
      <c r="J25" s="31" t="s">
        <v>93</v>
      </c>
      <c r="K25" s="35"/>
    </row>
    <row r="26" spans="1:11" ht="28.8" x14ac:dyDescent="0.3">
      <c r="A26" s="23" t="s">
        <v>95</v>
      </c>
      <c r="B26" s="22" t="s">
        <v>239</v>
      </c>
      <c r="C26" s="22" t="s">
        <v>234</v>
      </c>
      <c r="D26" s="22" t="s">
        <v>235</v>
      </c>
      <c r="E26" s="22" t="s">
        <v>94</v>
      </c>
      <c r="F26" s="23">
        <v>4</v>
      </c>
      <c r="G26" s="23" t="s">
        <v>95</v>
      </c>
      <c r="H26" s="23">
        <v>28.026900000000001</v>
      </c>
      <c r="I26" s="24">
        <v>112.10760000000001</v>
      </c>
      <c r="J26" s="30" t="s">
        <v>96</v>
      </c>
      <c r="K26" s="35"/>
    </row>
    <row r="27" spans="1:11" ht="28.8" x14ac:dyDescent="0.3">
      <c r="A27" s="27" t="s">
        <v>240</v>
      </c>
      <c r="B27" s="26" t="s">
        <v>241</v>
      </c>
      <c r="C27" s="26" t="s">
        <v>234</v>
      </c>
      <c r="D27" s="26" t="s">
        <v>238</v>
      </c>
      <c r="E27" s="26" t="s">
        <v>97</v>
      </c>
      <c r="F27" s="27">
        <v>4</v>
      </c>
      <c r="G27" s="27" t="s">
        <v>98</v>
      </c>
      <c r="H27" s="27">
        <v>60.970800000000004</v>
      </c>
      <c r="I27" s="28">
        <v>243.88320000000002</v>
      </c>
      <c r="J27" s="31" t="s">
        <v>99</v>
      </c>
      <c r="K27" s="35"/>
    </row>
    <row r="28" spans="1:11" ht="28.8" x14ac:dyDescent="0.3">
      <c r="A28" s="23" t="s">
        <v>256</v>
      </c>
      <c r="B28" s="22" t="s">
        <v>257</v>
      </c>
      <c r="C28" s="22" t="s">
        <v>258</v>
      </c>
      <c r="D28" s="22" t="s">
        <v>259</v>
      </c>
      <c r="E28" s="22" t="s">
        <v>120</v>
      </c>
      <c r="F28" s="23">
        <v>10</v>
      </c>
      <c r="G28" s="23">
        <v>0.33</v>
      </c>
      <c r="H28" s="23">
        <v>7.1460400000000002</v>
      </c>
      <c r="I28" s="24">
        <v>71.460400000000007</v>
      </c>
      <c r="J28" s="30" t="s">
        <v>121</v>
      </c>
      <c r="K28" s="35"/>
    </row>
    <row r="29" spans="1:11" ht="43.2" x14ac:dyDescent="0.3">
      <c r="A29" s="27" t="s">
        <v>260</v>
      </c>
      <c r="B29" s="26" t="s">
        <v>261</v>
      </c>
      <c r="C29" s="26" t="s">
        <v>262</v>
      </c>
      <c r="D29" s="26" t="s">
        <v>263</v>
      </c>
      <c r="E29" s="26" t="s">
        <v>122</v>
      </c>
      <c r="F29" s="27">
        <v>10</v>
      </c>
      <c r="G29" s="27">
        <v>10</v>
      </c>
      <c r="H29" s="27">
        <v>3.0157600000000002</v>
      </c>
      <c r="I29" s="28">
        <v>30.157600000000002</v>
      </c>
      <c r="J29" s="31" t="s">
        <v>123</v>
      </c>
      <c r="K29" s="35"/>
    </row>
    <row r="30" spans="1:11" ht="28.8" x14ac:dyDescent="0.3">
      <c r="A30" s="23" t="s">
        <v>265</v>
      </c>
      <c r="B30" s="22" t="s">
        <v>266</v>
      </c>
      <c r="C30" s="22" t="s">
        <v>258</v>
      </c>
      <c r="D30" s="22" t="s">
        <v>267</v>
      </c>
      <c r="E30" s="22" t="s">
        <v>397</v>
      </c>
      <c r="F30" s="23">
        <v>10</v>
      </c>
      <c r="G30" s="23" t="s">
        <v>125</v>
      </c>
      <c r="H30" s="23">
        <v>1.3112000000000001</v>
      </c>
      <c r="I30" s="24">
        <v>13.112000000000002</v>
      </c>
      <c r="J30" s="30" t="s">
        <v>126</v>
      </c>
      <c r="K30" s="35"/>
    </row>
    <row r="31" spans="1:11" ht="28.8" x14ac:dyDescent="0.3">
      <c r="A31" s="27" t="s">
        <v>268</v>
      </c>
      <c r="B31" s="26" t="s">
        <v>269</v>
      </c>
      <c r="C31" s="26" t="s">
        <v>270</v>
      </c>
      <c r="D31" s="26" t="s">
        <v>271</v>
      </c>
      <c r="E31" s="26" t="s">
        <v>127</v>
      </c>
      <c r="F31" s="27">
        <v>1</v>
      </c>
      <c r="G31" s="27" t="s">
        <v>128</v>
      </c>
      <c r="H31" s="27">
        <v>5.7364999999999995</v>
      </c>
      <c r="I31" s="28">
        <v>5.7364999999999995</v>
      </c>
      <c r="J31" s="31" t="s">
        <v>129</v>
      </c>
      <c r="K31" s="35"/>
    </row>
    <row r="32" spans="1:11" ht="43.2" x14ac:dyDescent="0.3">
      <c r="A32" s="23" t="s">
        <v>133</v>
      </c>
      <c r="B32" s="22" t="s">
        <v>274</v>
      </c>
      <c r="C32" s="22" t="s">
        <v>275</v>
      </c>
      <c r="D32" s="22" t="s">
        <v>276</v>
      </c>
      <c r="E32" s="22" t="s">
        <v>132</v>
      </c>
      <c r="F32" s="23">
        <v>2</v>
      </c>
      <c r="G32" s="23" t="s">
        <v>133</v>
      </c>
      <c r="H32" s="23">
        <v>53.431399999999996</v>
      </c>
      <c r="I32" s="24">
        <v>106.86279999999999</v>
      </c>
      <c r="J32" s="30" t="s">
        <v>134</v>
      </c>
      <c r="K32" s="35"/>
    </row>
    <row r="33" spans="1:11" ht="28.8" x14ac:dyDescent="0.3">
      <c r="A33" s="27" t="s">
        <v>136</v>
      </c>
      <c r="B33" s="26" t="s">
        <v>277</v>
      </c>
      <c r="C33" s="26" t="s">
        <v>275</v>
      </c>
      <c r="D33" s="26" t="s">
        <v>278</v>
      </c>
      <c r="E33" s="26" t="s">
        <v>135</v>
      </c>
      <c r="F33" s="27">
        <v>1</v>
      </c>
      <c r="G33" s="27" t="s">
        <v>136</v>
      </c>
      <c r="H33" s="27">
        <v>6.8837999999999999</v>
      </c>
      <c r="I33" s="28">
        <v>6.8837999999999999</v>
      </c>
      <c r="J33" s="31" t="s">
        <v>137</v>
      </c>
      <c r="K33" s="35"/>
    </row>
    <row r="34" spans="1:11" ht="28.8" x14ac:dyDescent="0.3">
      <c r="A34" s="23" t="s">
        <v>279</v>
      </c>
      <c r="B34" s="22" t="s">
        <v>280</v>
      </c>
      <c r="C34" s="22" t="s">
        <v>234</v>
      </c>
      <c r="D34" s="22" t="s">
        <v>281</v>
      </c>
      <c r="E34" s="22" t="s">
        <v>138</v>
      </c>
      <c r="F34" s="23">
        <v>1</v>
      </c>
      <c r="G34" s="23" t="s">
        <v>139</v>
      </c>
      <c r="H34" s="23">
        <v>17.0456</v>
      </c>
      <c r="I34" s="24">
        <v>17.0456</v>
      </c>
      <c r="J34" s="30" t="s">
        <v>140</v>
      </c>
      <c r="K34" s="35"/>
    </row>
    <row r="35" spans="1:11" ht="28.8" x14ac:dyDescent="0.3">
      <c r="A35" s="27" t="s">
        <v>282</v>
      </c>
      <c r="B35" s="26" t="s">
        <v>283</v>
      </c>
      <c r="C35" s="26" t="s">
        <v>275</v>
      </c>
      <c r="D35" s="26" t="s">
        <v>281</v>
      </c>
      <c r="E35" s="26" t="s">
        <v>141</v>
      </c>
      <c r="F35" s="27">
        <v>1</v>
      </c>
      <c r="G35" s="27" t="s">
        <v>142</v>
      </c>
      <c r="H35" s="27">
        <v>37.041399999999996</v>
      </c>
      <c r="I35" s="28">
        <v>37.041399999999996</v>
      </c>
      <c r="J35" s="31" t="s">
        <v>143</v>
      </c>
      <c r="K35" s="35"/>
    </row>
    <row r="36" spans="1:11" ht="43.2" x14ac:dyDescent="0.3">
      <c r="A36" s="23" t="s">
        <v>284</v>
      </c>
      <c r="B36" s="22" t="s">
        <v>285</v>
      </c>
      <c r="C36" s="22" t="s">
        <v>234</v>
      </c>
      <c r="D36" s="22" t="s">
        <v>286</v>
      </c>
      <c r="E36" s="22" t="s">
        <v>144</v>
      </c>
      <c r="F36" s="23">
        <v>1</v>
      </c>
      <c r="G36" s="23" t="s">
        <v>145</v>
      </c>
      <c r="H36" s="23">
        <v>39.499900000000004</v>
      </c>
      <c r="I36" s="24">
        <v>39.499900000000004</v>
      </c>
      <c r="J36" s="30" t="s">
        <v>146</v>
      </c>
      <c r="K36" s="35"/>
    </row>
    <row r="37" spans="1:11" ht="43.2" x14ac:dyDescent="0.3">
      <c r="A37" s="27" t="s">
        <v>287</v>
      </c>
      <c r="B37" s="26" t="s">
        <v>288</v>
      </c>
      <c r="C37" s="26" t="s">
        <v>226</v>
      </c>
      <c r="D37" s="26" t="s">
        <v>223</v>
      </c>
      <c r="E37" s="26" t="s">
        <v>147</v>
      </c>
      <c r="F37" s="27">
        <v>3</v>
      </c>
      <c r="G37" s="27" t="s">
        <v>103</v>
      </c>
      <c r="H37" s="27">
        <v>39.335999999999999</v>
      </c>
      <c r="I37" s="28">
        <v>118.008</v>
      </c>
      <c r="J37" s="29" t="s">
        <v>148</v>
      </c>
      <c r="K37" s="36"/>
    </row>
    <row r="38" spans="1:11" ht="28.8" x14ac:dyDescent="0.3">
      <c r="A38" s="23" t="s">
        <v>289</v>
      </c>
      <c r="B38" s="22" t="s">
        <v>290</v>
      </c>
      <c r="C38" s="22" t="s">
        <v>226</v>
      </c>
      <c r="D38" s="22" t="s">
        <v>223</v>
      </c>
      <c r="E38" s="22" t="s">
        <v>149</v>
      </c>
      <c r="F38" s="23">
        <v>1</v>
      </c>
      <c r="G38" s="23" t="s">
        <v>103</v>
      </c>
      <c r="H38" s="23">
        <v>39.335999999999999</v>
      </c>
      <c r="I38" s="24">
        <v>39.335999999999999</v>
      </c>
      <c r="J38" s="30" t="s">
        <v>150</v>
      </c>
      <c r="K38" s="36"/>
    </row>
    <row r="39" spans="1:11" ht="43.2" x14ac:dyDescent="0.3">
      <c r="A39" s="27" t="s">
        <v>291</v>
      </c>
      <c r="B39" s="26" t="s">
        <v>292</v>
      </c>
      <c r="C39" s="26" t="s">
        <v>226</v>
      </c>
      <c r="D39" s="26" t="s">
        <v>293</v>
      </c>
      <c r="E39" s="26" t="s">
        <v>151</v>
      </c>
      <c r="F39" s="27">
        <v>2</v>
      </c>
      <c r="G39" s="27" t="s">
        <v>111</v>
      </c>
      <c r="H39" s="27">
        <v>39.991599999999998</v>
      </c>
      <c r="I39" s="28">
        <v>79.983199999999997</v>
      </c>
      <c r="J39" s="31" t="s">
        <v>152</v>
      </c>
      <c r="K39" s="35"/>
    </row>
    <row r="40" spans="1:11" ht="43.2" x14ac:dyDescent="0.3">
      <c r="A40" s="32" t="s">
        <v>410</v>
      </c>
      <c r="B40" s="22" t="s">
        <v>304</v>
      </c>
      <c r="C40" s="22" t="s">
        <v>305</v>
      </c>
      <c r="D40" s="22" t="s">
        <v>306</v>
      </c>
      <c r="E40" s="22" t="s">
        <v>307</v>
      </c>
      <c r="F40" s="23">
        <v>4</v>
      </c>
      <c r="G40" s="23" t="s">
        <v>308</v>
      </c>
      <c r="H40" s="23">
        <v>22.290400000000002</v>
      </c>
      <c r="I40" s="24">
        <v>89.161600000000007</v>
      </c>
      <c r="J40" s="30" t="s">
        <v>309</v>
      </c>
      <c r="K40" s="36"/>
    </row>
    <row r="41" spans="1:11" ht="43.2" x14ac:dyDescent="0.3">
      <c r="A41" s="33" t="s">
        <v>310</v>
      </c>
      <c r="B41" s="26" t="s">
        <v>311</v>
      </c>
      <c r="C41" s="26" t="s">
        <v>197</v>
      </c>
      <c r="D41" s="26" t="s">
        <v>312</v>
      </c>
      <c r="E41" s="26" t="s">
        <v>313</v>
      </c>
      <c r="F41" s="27">
        <v>3</v>
      </c>
      <c r="G41" s="27" t="s">
        <v>314</v>
      </c>
      <c r="H41" s="27">
        <v>22.7821</v>
      </c>
      <c r="I41" s="28">
        <v>68.346299999999999</v>
      </c>
      <c r="J41" s="31" t="s">
        <v>387</v>
      </c>
      <c r="K41" s="36"/>
    </row>
    <row r="42" spans="1:11" ht="43.2" x14ac:dyDescent="0.3">
      <c r="A42" s="32" t="s">
        <v>315</v>
      </c>
      <c r="B42" s="22" t="s">
        <v>316</v>
      </c>
      <c r="C42" s="22" t="s">
        <v>197</v>
      </c>
      <c r="D42" s="22" t="s">
        <v>312</v>
      </c>
      <c r="E42" s="22" t="s">
        <v>317</v>
      </c>
      <c r="F42" s="23">
        <v>1</v>
      </c>
      <c r="G42" s="23" t="s">
        <v>318</v>
      </c>
      <c r="H42" s="23">
        <v>29.665900000000001</v>
      </c>
      <c r="I42" s="24">
        <v>29.665900000000001</v>
      </c>
      <c r="J42" s="30" t="s">
        <v>319</v>
      </c>
      <c r="K42" s="36"/>
    </row>
    <row r="43" spans="1:11" ht="28.8" x14ac:dyDescent="0.3">
      <c r="A43" s="33" t="s">
        <v>320</v>
      </c>
      <c r="B43" s="26" t="s">
        <v>321</v>
      </c>
      <c r="C43" s="26" t="s">
        <v>201</v>
      </c>
      <c r="D43" s="26" t="s">
        <v>322</v>
      </c>
      <c r="E43" s="26" t="s">
        <v>323</v>
      </c>
      <c r="F43" s="27">
        <v>1</v>
      </c>
      <c r="G43" s="27" t="s">
        <v>324</v>
      </c>
      <c r="H43" s="27">
        <v>1.6390000000000002</v>
      </c>
      <c r="I43" s="28">
        <v>1.6390000000000002</v>
      </c>
      <c r="J43" s="31" t="s">
        <v>325</v>
      </c>
      <c r="K43" s="36"/>
    </row>
    <row r="44" spans="1:11" ht="43.2" x14ac:dyDescent="0.3">
      <c r="A44" s="32" t="s">
        <v>326</v>
      </c>
      <c r="B44" s="22" t="s">
        <v>327</v>
      </c>
      <c r="C44" s="22" t="s">
        <v>201</v>
      </c>
      <c r="D44" s="22" t="s">
        <v>328</v>
      </c>
      <c r="E44" s="22" t="s">
        <v>329</v>
      </c>
      <c r="F44" s="23">
        <v>4</v>
      </c>
      <c r="G44" s="23" t="s">
        <v>330</v>
      </c>
      <c r="H44" s="23">
        <v>1.6390000000000002</v>
      </c>
      <c r="I44" s="24">
        <v>6.5560000000000009</v>
      </c>
      <c r="J44" s="30" t="s">
        <v>331</v>
      </c>
      <c r="K44" s="36"/>
    </row>
    <row r="45" spans="1:11" ht="28.8" x14ac:dyDescent="0.3">
      <c r="A45" s="33" t="s">
        <v>332</v>
      </c>
      <c r="B45" s="26" t="s">
        <v>333</v>
      </c>
      <c r="C45" s="26" t="s">
        <v>205</v>
      </c>
      <c r="D45" s="26" t="s">
        <v>322</v>
      </c>
      <c r="E45" s="26" t="s">
        <v>334</v>
      </c>
      <c r="F45" s="27">
        <v>1</v>
      </c>
      <c r="G45" s="27" t="s">
        <v>335</v>
      </c>
      <c r="H45" s="27">
        <v>1.8029000000000002</v>
      </c>
      <c r="I45" s="28">
        <v>1.8029000000000002</v>
      </c>
      <c r="J45" s="31" t="s">
        <v>336</v>
      </c>
      <c r="K45" s="36"/>
    </row>
    <row r="46" spans="1:11" ht="28.8" x14ac:dyDescent="0.3">
      <c r="A46" s="32" t="s">
        <v>337</v>
      </c>
      <c r="B46" s="22" t="s">
        <v>338</v>
      </c>
      <c r="C46" s="22" t="s">
        <v>205</v>
      </c>
      <c r="D46" s="22" t="s">
        <v>328</v>
      </c>
      <c r="E46" s="22" t="s">
        <v>339</v>
      </c>
      <c r="F46" s="23">
        <v>1</v>
      </c>
      <c r="G46" s="23" t="s">
        <v>330</v>
      </c>
      <c r="H46" s="23">
        <v>77.196899999999999</v>
      </c>
      <c r="I46" s="24">
        <v>77.196899999999999</v>
      </c>
      <c r="J46" s="30" t="s">
        <v>388</v>
      </c>
      <c r="K46" s="36"/>
    </row>
    <row r="47" spans="1:11" ht="28.8" x14ac:dyDescent="0.3">
      <c r="A47" s="33" t="s">
        <v>411</v>
      </c>
      <c r="B47" s="26" t="s">
        <v>340</v>
      </c>
      <c r="C47" s="26" t="s">
        <v>209</v>
      </c>
      <c r="D47" s="26" t="s">
        <v>322</v>
      </c>
      <c r="E47" s="26" t="s">
        <v>341</v>
      </c>
      <c r="F47" s="27">
        <v>1</v>
      </c>
      <c r="G47" s="27" t="s">
        <v>342</v>
      </c>
      <c r="H47" s="27">
        <v>9.0145000000000017</v>
      </c>
      <c r="I47" s="28">
        <v>9.0145000000000017</v>
      </c>
      <c r="J47" s="31" t="s">
        <v>343</v>
      </c>
      <c r="K47" s="36"/>
    </row>
    <row r="48" spans="1:11" ht="28.8" x14ac:dyDescent="0.3">
      <c r="A48" s="32" t="s">
        <v>344</v>
      </c>
      <c r="B48" s="22" t="s">
        <v>345</v>
      </c>
      <c r="C48" s="22" t="s">
        <v>205</v>
      </c>
      <c r="D48" s="22" t="s">
        <v>322</v>
      </c>
      <c r="E48" s="22" t="s">
        <v>346</v>
      </c>
      <c r="F48" s="23">
        <v>1</v>
      </c>
      <c r="G48" s="23" t="s">
        <v>347</v>
      </c>
      <c r="H48" s="23">
        <v>1.6390000000000002</v>
      </c>
      <c r="I48" s="24">
        <v>1.6390000000000002</v>
      </c>
      <c r="J48" s="30" t="s">
        <v>348</v>
      </c>
      <c r="K48" s="36"/>
    </row>
    <row r="49" spans="1:11" ht="28.8" x14ac:dyDescent="0.3">
      <c r="A49" s="33" t="s">
        <v>349</v>
      </c>
      <c r="B49" s="26" t="s">
        <v>350</v>
      </c>
      <c r="C49" s="26" t="s">
        <v>205</v>
      </c>
      <c r="D49" s="26" t="s">
        <v>322</v>
      </c>
      <c r="E49" s="26" t="s">
        <v>351</v>
      </c>
      <c r="F49" s="27">
        <v>2</v>
      </c>
      <c r="G49" s="27" t="s">
        <v>352</v>
      </c>
      <c r="H49" s="27">
        <v>1.6390000000000002</v>
      </c>
      <c r="I49" s="28">
        <v>3.2780000000000005</v>
      </c>
      <c r="J49" s="31" t="s">
        <v>353</v>
      </c>
      <c r="K49" s="36"/>
    </row>
    <row r="50" spans="1:11" ht="28.8" x14ac:dyDescent="0.3">
      <c r="A50" s="32" t="s">
        <v>354</v>
      </c>
      <c r="B50" s="22" t="s">
        <v>355</v>
      </c>
      <c r="C50" s="22" t="s">
        <v>205</v>
      </c>
      <c r="D50" s="22" t="s">
        <v>322</v>
      </c>
      <c r="E50" s="22" t="s">
        <v>356</v>
      </c>
      <c r="F50" s="23">
        <v>1</v>
      </c>
      <c r="G50" s="23" t="s">
        <v>357</v>
      </c>
      <c r="H50" s="23">
        <v>1.6390000000000002</v>
      </c>
      <c r="I50" s="24">
        <v>1.6390000000000002</v>
      </c>
      <c r="J50" s="30" t="s">
        <v>389</v>
      </c>
      <c r="K50" s="36"/>
    </row>
    <row r="51" spans="1:11" ht="29.4" thickBot="1" x14ac:dyDescent="0.35">
      <c r="A51" s="38" t="s">
        <v>358</v>
      </c>
      <c r="B51" s="39" t="s">
        <v>359</v>
      </c>
      <c r="C51" s="39" t="s">
        <v>193</v>
      </c>
      <c r="D51" s="39" t="s">
        <v>312</v>
      </c>
      <c r="E51" s="39" t="s">
        <v>360</v>
      </c>
      <c r="F51" s="40">
        <v>1</v>
      </c>
      <c r="G51" s="40" t="s">
        <v>361</v>
      </c>
      <c r="H51" s="40">
        <v>52.611899999999999</v>
      </c>
      <c r="I51" s="41">
        <v>52.611899999999999</v>
      </c>
      <c r="J51" s="42" t="s">
        <v>362</v>
      </c>
      <c r="K51" s="43"/>
    </row>
    <row r="52" spans="1:11" ht="15.6" thickTop="1" thickBot="1" x14ac:dyDescent="0.35">
      <c r="H52" s="48"/>
      <c r="I52" s="49"/>
    </row>
    <row r="53" spans="1:11" ht="15" thickTop="1" x14ac:dyDescent="0.3">
      <c r="H53" s="20" t="s">
        <v>386</v>
      </c>
      <c r="I53" s="21">
        <f>SUM(Table2[Price Total])</f>
        <v>2553.2342000000003</v>
      </c>
    </row>
  </sheetData>
  <hyperlinks>
    <hyperlink ref="J2" r:id="rId1" xr:uid="{DE71E71C-8797-441A-AC8D-9712DAF4F2A4}"/>
    <hyperlink ref="J3" r:id="rId2" xr:uid="{6165B835-CF04-4145-8584-BB14B18FBBE2}"/>
    <hyperlink ref="J4" r:id="rId3" xr:uid="{67E56326-00F5-4DC5-B436-8A4D6102638E}"/>
    <hyperlink ref="J5" r:id="rId4" xr:uid="{773042D7-8C07-4F93-B732-FE2F9730B5C0}"/>
    <hyperlink ref="J23" r:id="rId5" xr:uid="{CD6EB69B-7D33-4CB3-B15C-F9C722EF19D2}"/>
    <hyperlink ref="J37" r:id="rId6" xr:uid="{4CFB475E-196C-4517-A456-D04BACC184B3}"/>
  </hyperlinks>
  <pageMargins left="0.7" right="0.7" top="0.75" bottom="0.75" header="0.3" footer="0.3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2F5D-DF60-4C25-B830-4D174C923CC9}">
  <dimension ref="A1:J5"/>
  <sheetViews>
    <sheetView tabSelected="1" workbookViewId="0">
      <selection activeCell="E6" sqref="E6"/>
    </sheetView>
  </sheetViews>
  <sheetFormatPr defaultColWidth="25.88671875" defaultRowHeight="14.4" x14ac:dyDescent="0.3"/>
  <cols>
    <col min="1" max="1" width="24.88671875" bestFit="1" customWidth="1"/>
    <col min="2" max="2" width="14.21875" bestFit="1" customWidth="1"/>
    <col min="3" max="3" width="29.5546875" bestFit="1" customWidth="1"/>
    <col min="4" max="4" width="11.5546875" bestFit="1" customWidth="1"/>
    <col min="5" max="5" width="6.109375" bestFit="1" customWidth="1"/>
    <col min="6" max="6" width="7.88671875" bestFit="1" customWidth="1"/>
    <col min="7" max="7" width="12.109375" bestFit="1" customWidth="1"/>
    <col min="8" max="8" width="12" bestFit="1" customWidth="1"/>
    <col min="9" max="9" width="79" bestFit="1" customWidth="1"/>
    <col min="10" max="10" width="16.33203125" bestFit="1" customWidth="1"/>
  </cols>
  <sheetData>
    <row r="1" spans="1:10" x14ac:dyDescent="0.3">
      <c r="A1" s="50" t="s">
        <v>0</v>
      </c>
      <c r="B1" s="37" t="s">
        <v>2</v>
      </c>
      <c r="C1" s="37" t="s">
        <v>3</v>
      </c>
      <c r="D1" s="37" t="s">
        <v>4</v>
      </c>
      <c r="E1" s="37" t="s">
        <v>5</v>
      </c>
      <c r="F1" s="37" t="s">
        <v>6</v>
      </c>
      <c r="G1" s="37" t="s">
        <v>409</v>
      </c>
      <c r="H1" s="37" t="s">
        <v>7</v>
      </c>
      <c r="I1" s="37" t="s">
        <v>8</v>
      </c>
      <c r="J1" s="37" t="s">
        <v>390</v>
      </c>
    </row>
    <row r="2" spans="1:10" ht="28.8" x14ac:dyDescent="0.3">
      <c r="A2" s="22" t="s">
        <v>391</v>
      </c>
      <c r="B2" s="22" t="s">
        <v>392</v>
      </c>
      <c r="C2" s="22" t="s">
        <v>295</v>
      </c>
      <c r="D2" s="22" t="s">
        <v>153</v>
      </c>
      <c r="E2" s="23">
        <v>1</v>
      </c>
      <c r="F2" s="23" t="s">
        <v>153</v>
      </c>
      <c r="G2" s="23">
        <v>103.01</v>
      </c>
      <c r="H2" s="24">
        <v>101.78189999999999</v>
      </c>
      <c r="I2" s="30" t="s">
        <v>393</v>
      </c>
      <c r="J2" s="36"/>
    </row>
    <row r="3" spans="1:10" ht="15" thickBot="1" x14ac:dyDescent="0.35">
      <c r="A3" s="44" t="s">
        <v>400</v>
      </c>
      <c r="B3" s="44" t="s">
        <v>392</v>
      </c>
      <c r="C3" s="44" t="s">
        <v>298</v>
      </c>
      <c r="D3" s="44" t="s">
        <v>153</v>
      </c>
      <c r="E3" s="45">
        <v>4</v>
      </c>
      <c r="F3" s="45" t="s">
        <v>153</v>
      </c>
      <c r="G3" s="45">
        <v>74.082799999999992</v>
      </c>
      <c r="H3" s="46">
        <v>296.33119999999997</v>
      </c>
      <c r="I3" s="47" t="s">
        <v>398</v>
      </c>
      <c r="J3" s="43"/>
    </row>
    <row r="4" spans="1:10" ht="15.6" thickTop="1" thickBot="1" x14ac:dyDescent="0.35">
      <c r="F4" s="48"/>
      <c r="G4" s="49"/>
    </row>
    <row r="5" spans="1:10" ht="15" thickTop="1" x14ac:dyDescent="0.3">
      <c r="F5" s="20" t="s">
        <v>386</v>
      </c>
      <c r="G5" s="21">
        <f>SUM(Table3[Price Total])</f>
        <v>398.11309999999997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Complete Components</vt:lpstr>
      <vt:lpstr>Digikey Components</vt:lpstr>
      <vt:lpstr>Communica 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Hofmeyr</dc:creator>
  <cp:lastModifiedBy>Hofmeyr, KJ, Mr [27150526@sun.ac.za]</cp:lastModifiedBy>
  <dcterms:created xsi:type="dcterms:W3CDTF">2026-06-16T19:35:24Z</dcterms:created>
  <dcterms:modified xsi:type="dcterms:W3CDTF">2026-07-03T07:46:19Z</dcterms:modified>
</cp:coreProperties>
</file>